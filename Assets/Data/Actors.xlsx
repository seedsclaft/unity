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19200" windowHeight="7070"/>
  </bookViews>
  <sheets>
    <sheet name="Actors" sheetId="1" r:id="rId1"/>
    <sheet name="Learning" sheetId="3" r:id="rId2"/>
    <sheet name="SkillTrigger" sheetId="4" r:id="rId3"/>
    <sheet name="TextData" sheetId="2" r:id="rId4"/>
  </sheets>
  <calcPr calcId="144525"/>
</workbook>
</file>

<file path=xl/sharedStrings.xml><?xml version="1.0" encoding="utf-8"?>
<sst xmlns="http://schemas.openxmlformats.org/spreadsheetml/2006/main" count="99" uniqueCount="95">
  <si>
    <t>Id</t>
  </si>
  <si>
    <t>NameId</t>
  </si>
  <si>
    <t>_</t>
  </si>
  <si>
    <t>ClassId</t>
  </si>
  <si>
    <t>UnitType</t>
  </si>
  <si>
    <t>ImagePath</t>
  </si>
  <si>
    <t>InitLv</t>
  </si>
  <si>
    <t>MaxLv</t>
  </si>
  <si>
    <t>InitHp</t>
  </si>
  <si>
    <t>InitMp</t>
  </si>
  <si>
    <t>InitAtk</t>
  </si>
  <si>
    <t>InitDef</t>
  </si>
  <si>
    <t>InitSpd</t>
  </si>
  <si>
    <t>GrowthHp</t>
  </si>
  <si>
    <t>GrowthMp</t>
  </si>
  <si>
    <t>GrowthAtk</t>
  </si>
  <si>
    <t>GrowthDef</t>
  </si>
  <si>
    <t>GrowthSpd</t>
  </si>
  <si>
    <t>Element1</t>
  </si>
  <si>
    <t>Element2</t>
  </si>
  <si>
    <t>Element3</t>
  </si>
  <si>
    <t>Element4</t>
  </si>
  <si>
    <t>Element5</t>
  </si>
  <si>
    <t>X</t>
  </si>
  <si>
    <t>Y</t>
  </si>
  <si>
    <t>Scale</t>
  </si>
  <si>
    <t>AwakenX</t>
  </si>
  <si>
    <t>AwakenY</t>
  </si>
  <si>
    <t>AwakenScale</t>
  </si>
  <si>
    <t>Kind1</t>
  </si>
  <si>
    <t>Kind2</t>
  </si>
  <si>
    <t>Kind3</t>
  </si>
  <si>
    <t>0001</t>
  </si>
  <si>
    <t>0002</t>
  </si>
  <si>
    <t>0003</t>
  </si>
  <si>
    <t>0004</t>
  </si>
  <si>
    <t>0005</t>
  </si>
  <si>
    <t>0006</t>
  </si>
  <si>
    <t>0007</t>
  </si>
  <si>
    <t>0008</t>
  </si>
  <si>
    <t>0009</t>
  </si>
  <si>
    <t>0010</t>
  </si>
  <si>
    <t>0011</t>
  </si>
  <si>
    <t>ActorId</t>
  </si>
  <si>
    <t>SkillId</t>
  </si>
  <si>
    <t>Level</t>
  </si>
  <si>
    <t>11,21,31,1010,1060,100110,100120</t>
  </si>
  <si>
    <t>11,21,31,2010,2070,100210,100220</t>
  </si>
  <si>
    <t>11,21,31,3010,3020,100310,100320</t>
  </si>
  <si>
    <t>11,21,31,4010,4030,100410,100420</t>
  </si>
  <si>
    <t>11,21,31,5010,5070,100510,100520</t>
  </si>
  <si>
    <t>11,21,31,1010,1030,100610,100620</t>
  </si>
  <si>
    <t>11,21,31,2010,2040,100710,100720</t>
  </si>
  <si>
    <t>11,21,31,3010,3070,100810,100820</t>
  </si>
  <si>
    <t>11,21,31,1010,1050,100910,100920</t>
  </si>
  <si>
    <t>11,21,31,2010,2030,101010,101020</t>
  </si>
  <si>
    <t>11,21,31,3010,3050,101110,101120</t>
  </si>
  <si>
    <t>TriggerType1</t>
  </si>
  <si>
    <t>TriggerType2</t>
  </si>
  <si>
    <t>Text</t>
  </si>
  <si>
    <t>SubName</t>
  </si>
  <si>
    <t>Feature</t>
  </si>
  <si>
    <t>ミカ</t>
  </si>
  <si>
    <t>【煉獄棘姫】</t>
  </si>
  <si>
    <t>高い攻撃性能を持つアタッカー。
全体的にステータスが高く、赤属性魔法を習得することでさらに攻撃性能を伸ばすことができる。</t>
  </si>
  <si>
    <t>エリザベート</t>
  </si>
  <si>
    <t>【ChargeCommander】</t>
  </si>
  <si>
    <t>回避率を上げて攻撃を避けるアタッカー。
打たれ弱いがSPDが高く、回避率をアップする雷属性魔法を習得しやすい。</t>
  </si>
  <si>
    <t>アリエス</t>
  </si>
  <si>
    <t>【怠惰な守護少女】</t>
  </si>
  <si>
    <t>相手の攻撃を跳ね返すディフェンダー。
受けた攻撃ダメージの一部を跳ね返す「カウンターオーラ」を使うことができる。</t>
  </si>
  <si>
    <t>シイナ</t>
  </si>
  <si>
    <t>【イノセント・リメディ】</t>
  </si>
  <si>
    <t>回復に特化したヒーラー。
全体的にステータスが低いが、味方のHpを回復する「ヒーリング」を使うことができる。</t>
  </si>
  <si>
    <t>レダ</t>
  </si>
  <si>
    <t>【Self-sacrifice】</t>
  </si>
  <si>
    <t>相手の攻撃性能を下げるジャマー。
「シェイディークラウド」で味方が受けるダメージを抑えたり、「毒」でスリップダメージを与える魔法を使うことができる。</t>
  </si>
  <si>
    <t>リシェリ</t>
  </si>
  <si>
    <t>【Faked-Magician】</t>
  </si>
  <si>
    <t>味方のCTを短縮することができるサポーター。
CT（魔法を再使用するまでのターン数）を短縮しパーティ全体の補助をすることができる。</t>
  </si>
  <si>
    <t>ユニ</t>
  </si>
  <si>
    <t>【奇跡の乙女】</t>
  </si>
  <si>
    <t>味方の行動待機時間を短くするサポーター。
「アウトオブオーダー」で両隣に配置した味方の行動待機時間を短縮したり、味方のATK・DEFをアップするバフ魔法を使うことができる。</t>
  </si>
  <si>
    <t>マリーベル</t>
  </si>
  <si>
    <t>【唯心の在処】</t>
  </si>
  <si>
    <t>味方の攻撃を代わりに受け持つディフェンダー。
「アクアミラージュ」で一定回数攻撃を無効にしたり、味方の攻撃を代わりに受けパーティの生存率を上げることができる。</t>
  </si>
  <si>
    <t>ナツキ</t>
  </si>
  <si>
    <t>【黄昏ニヒリスト】</t>
  </si>
  <si>
    <t>攻撃回数の多い攻撃性能を持つアタッカー。
Hpが低いがATKが高く、攻撃回数の多い「フレイムレイン」を使うことができる。</t>
  </si>
  <si>
    <t>メリアドール</t>
  </si>
  <si>
    <t>【怨嗟の鎖】</t>
  </si>
  <si>
    <t>SPD性能に特化したジャマー。
「ショックインパルス」で相手を行動不可にすることができる。</t>
  </si>
  <si>
    <t>セリナ</t>
  </si>
  <si>
    <t>【氷雪の勿忘草】</t>
  </si>
  <si>
    <t>凍結攻撃を主体とするアタッカー。
「ディープフリーズ」で攻撃時に一定量のダメージを受ける「凍結」状態にし、凍結効果をさらにアップすることで自滅に追い込むことができる。</t>
  </si>
</sst>
</file>

<file path=xl/styles.xml><?xml version="1.0" encoding="utf-8"?>
<styleSheet xmlns="http://schemas.openxmlformats.org/spreadsheetml/2006/main">
  <numFmts count="4">
    <numFmt numFmtId="176" formatCode="_-&quot;\&quot;* #,##0_-\ ;\-&quot;\&quot;* #,##0_-\ ;_-&quot;\&quot;* &quot;-&quot;??_-\ ;_-@_-"/>
    <numFmt numFmtId="177" formatCode="_-&quot;\&quot;* #,##0.00_-\ ;\-&quot;\&quot;* #,##0.00_-\ ;_-&quot;\&quot;* &quot;-&quot;??_-\ ;_-@_-"/>
    <numFmt numFmtId="43" formatCode="_ * #,##0.00_ ;_ * \-#,##0.00_ ;_ * &quot;-&quot;??_ ;_ @_ "/>
    <numFmt numFmtId="178" formatCode="_ * #,##0_ ;_ * \-#,##0_ ;_ * &quot;-&quot;??_ ;_ @_ "/>
  </numFmts>
  <fonts count="20">
    <font>
      <sz val="11"/>
      <color theme="1"/>
      <name val="ＭＳ Ｐゴシック"/>
      <charset val="134"/>
      <scheme val="minor"/>
    </font>
    <font>
      <sz val="11"/>
      <color theme="0"/>
      <name val="ＭＳ Ｐゴシック"/>
      <charset val="0"/>
      <scheme val="minor"/>
    </font>
    <font>
      <sz val="11"/>
      <color theme="1"/>
      <name val="ＭＳ Ｐゴシック"/>
      <charset val="0"/>
      <scheme val="minor"/>
    </font>
    <font>
      <sz val="11"/>
      <color rgb="FFFF0000"/>
      <name val="ＭＳ Ｐゴシック"/>
      <charset val="0"/>
      <scheme val="minor"/>
    </font>
    <font>
      <b/>
      <sz val="13"/>
      <color theme="3"/>
      <name val="ＭＳ Ｐゴシック"/>
      <charset val="134"/>
      <scheme val="minor"/>
    </font>
    <font>
      <b/>
      <sz val="18"/>
      <color theme="3"/>
      <name val="ＭＳ Ｐゴシック"/>
      <charset val="134"/>
      <scheme val="minor"/>
    </font>
    <font>
      <sz val="11"/>
      <color rgb="FF3F3F76"/>
      <name val="ＭＳ Ｐゴシック"/>
      <charset val="0"/>
      <scheme val="minor"/>
    </font>
    <font>
      <b/>
      <sz val="15"/>
      <color theme="3"/>
      <name val="ＭＳ Ｐゴシック"/>
      <charset val="134"/>
      <scheme val="minor"/>
    </font>
    <font>
      <i/>
      <sz val="11"/>
      <color rgb="FF7F7F7F"/>
      <name val="ＭＳ Ｐゴシック"/>
      <charset val="0"/>
      <scheme val="minor"/>
    </font>
    <font>
      <u/>
      <sz val="11"/>
      <color rgb="FF0000FF"/>
      <name val="ＭＳ Ｐゴシック"/>
      <charset val="0"/>
      <scheme val="minor"/>
    </font>
    <font>
      <u/>
      <sz val="11"/>
      <color rgb="FF800080"/>
      <name val="ＭＳ Ｐゴシック"/>
      <charset val="0"/>
      <scheme val="minor"/>
    </font>
    <font>
      <b/>
      <sz val="11"/>
      <color theme="1"/>
      <name val="ＭＳ Ｐゴシック"/>
      <charset val="0"/>
      <scheme val="minor"/>
    </font>
    <font>
      <sz val="11"/>
      <color rgb="FF006100"/>
      <name val="ＭＳ Ｐゴシック"/>
      <charset val="0"/>
      <scheme val="minor"/>
    </font>
    <font>
      <sz val="11"/>
      <color rgb="FFFA7D00"/>
      <name val="ＭＳ Ｐゴシック"/>
      <charset val="0"/>
      <scheme val="minor"/>
    </font>
    <font>
      <b/>
      <sz val="11"/>
      <color rgb="FF3F3F3F"/>
      <name val="ＭＳ Ｐゴシック"/>
      <charset val="0"/>
      <scheme val="minor"/>
    </font>
    <font>
      <b/>
      <sz val="11"/>
      <color rgb="FFFA7D00"/>
      <name val="ＭＳ Ｐゴシック"/>
      <charset val="0"/>
      <scheme val="minor"/>
    </font>
    <font>
      <b/>
      <sz val="11"/>
      <color theme="3"/>
      <name val="ＭＳ Ｐゴシック"/>
      <charset val="134"/>
      <scheme val="minor"/>
    </font>
    <font>
      <b/>
      <sz val="11"/>
      <color rgb="FFFFFFFF"/>
      <name val="ＭＳ Ｐゴシック"/>
      <charset val="0"/>
      <scheme val="minor"/>
    </font>
    <font>
      <sz val="11"/>
      <color rgb="FF9C6500"/>
      <name val="ＭＳ Ｐゴシック"/>
      <charset val="0"/>
      <scheme val="minor"/>
    </font>
    <font>
      <sz val="11"/>
      <color rgb="FF9C0006"/>
      <name val="ＭＳ Ｐゴシック"/>
      <charset val="0"/>
      <scheme val="minor"/>
    </font>
  </fonts>
  <fills count="33">
    <fill>
      <patternFill patternType="none"/>
    </fill>
    <fill>
      <patternFill patternType="gray125"/>
    </fill>
    <fill>
      <patternFill patternType="solid">
        <fgColor theme="8"/>
        <bgColor indexed="64"/>
      </patternFill>
    </fill>
    <fill>
      <patternFill patternType="solid">
        <fgColor theme="9" tint="0.799981688894314"/>
        <bgColor indexed="64"/>
      </patternFill>
    </fill>
    <fill>
      <patternFill patternType="solid">
        <fgColor theme="8" tint="0.799981688894314"/>
        <bgColor indexed="64"/>
      </patternFill>
    </fill>
    <fill>
      <patternFill patternType="solid">
        <fgColor theme="9" tint="0.399975585192419"/>
        <bgColor indexed="64"/>
      </patternFill>
    </fill>
    <fill>
      <patternFill patternType="solid">
        <fgColor theme="9" tint="0.599993896298105"/>
        <bgColor indexed="64"/>
      </patternFill>
    </fill>
    <fill>
      <patternFill patternType="solid">
        <fgColor theme="9"/>
        <bgColor indexed="64"/>
      </patternFill>
    </fill>
    <fill>
      <patternFill patternType="solid">
        <fgColor rgb="FFFFFFCC"/>
        <bgColor indexed="64"/>
      </patternFill>
    </fill>
    <fill>
      <patternFill patternType="solid">
        <fgColor theme="7" tint="0.599993896298105"/>
        <bgColor indexed="64"/>
      </patternFill>
    </fill>
    <fill>
      <patternFill patternType="solid">
        <fgColor theme="7"/>
        <bgColor indexed="64"/>
      </patternFill>
    </fill>
    <fill>
      <patternFill patternType="solid">
        <fgColor theme="6" tint="0.399975585192419"/>
        <bgColor indexed="64"/>
      </patternFill>
    </fill>
    <fill>
      <patternFill patternType="solid">
        <fgColor rgb="FFFFCC99"/>
        <bgColor indexed="64"/>
      </patternFill>
    </fill>
    <fill>
      <patternFill patternType="solid">
        <fgColor theme="8" tint="0.599993896298105"/>
        <bgColor indexed="64"/>
      </patternFill>
    </fill>
    <fill>
      <patternFill patternType="solid">
        <fgColor theme="5"/>
        <bgColor indexed="64"/>
      </patternFill>
    </fill>
    <fill>
      <patternFill patternType="solid">
        <fgColor theme="6" tint="0.599993896298105"/>
        <bgColor indexed="64"/>
      </patternFill>
    </fill>
    <fill>
      <patternFill patternType="solid">
        <fgColor theme="6"/>
        <bgColor indexed="64"/>
      </patternFill>
    </fill>
    <fill>
      <patternFill patternType="solid">
        <fgColor theme="5" tint="0.399975585192419"/>
        <bgColor indexed="64"/>
      </patternFill>
    </fill>
    <fill>
      <patternFill patternType="solid">
        <fgColor theme="7" tint="0.799981688894314"/>
        <bgColor indexed="64"/>
      </patternFill>
    </fill>
    <fill>
      <patternFill patternType="solid">
        <fgColor rgb="FFC6EFCE"/>
        <bgColor indexed="64"/>
      </patternFill>
    </fill>
    <fill>
      <patternFill patternType="solid">
        <fgColor theme="4" tint="0.799981688894314"/>
        <bgColor indexed="64"/>
      </patternFill>
    </fill>
    <fill>
      <patternFill patternType="solid">
        <fgColor theme="6" tint="0.799981688894314"/>
        <bgColor indexed="64"/>
      </patternFill>
    </fill>
    <fill>
      <patternFill patternType="solid">
        <fgColor theme="5" tint="0.799981688894314"/>
        <bgColor indexed="64"/>
      </patternFill>
    </fill>
    <fill>
      <patternFill patternType="solid">
        <fgColor rgb="FFF2F2F2"/>
        <bgColor indexed="64"/>
      </patternFill>
    </fill>
    <fill>
      <patternFill patternType="solid">
        <fgColor theme="5" tint="0.599993896298105"/>
        <bgColor indexed="64"/>
      </patternFill>
    </fill>
    <fill>
      <patternFill patternType="solid">
        <fgColor theme="8" tint="0.399975585192419"/>
        <bgColor indexed="64"/>
      </patternFill>
    </fill>
    <fill>
      <patternFill patternType="solid">
        <fgColor rgb="FFA5A5A5"/>
        <bgColor indexed="64"/>
      </patternFill>
    </fill>
    <fill>
      <patternFill patternType="solid">
        <fgColor theme="4" tint="0.399975585192419"/>
        <bgColor indexed="64"/>
      </patternFill>
    </fill>
    <fill>
      <patternFill patternType="solid">
        <fgColor theme="4"/>
        <bgColor indexed="64"/>
      </patternFill>
    </fill>
    <fill>
      <patternFill patternType="solid">
        <fgColor rgb="FFFFEB9C"/>
        <bgColor indexed="64"/>
      </patternFill>
    </fill>
    <fill>
      <patternFill patternType="solid">
        <fgColor theme="4" tint="0.599993896298105"/>
        <bgColor indexed="64"/>
      </patternFill>
    </fill>
    <fill>
      <patternFill patternType="solid">
        <fgColor rgb="FFFFC7CE"/>
        <bgColor indexed="64"/>
      </patternFill>
    </fill>
    <fill>
      <patternFill patternType="solid">
        <fgColor theme="7" tint="0.399975585192419"/>
        <bgColor indexed="64"/>
      </patternFill>
    </fill>
  </fills>
  <borders count="9">
    <border>
      <left/>
      <right/>
      <top/>
      <bottom/>
      <diagonal/>
    </border>
    <border>
      <left/>
      <right/>
      <top/>
      <bottom style="medium">
        <color theme="4"/>
      </bottom>
      <diagonal/>
    </border>
    <border>
      <left style="thin">
        <color rgb="FFB2B2B2"/>
      </left>
      <right style="thin">
        <color rgb="FFB2B2B2"/>
      </right>
      <top style="thin">
        <color rgb="FFB2B2B2"/>
      </top>
      <bottom style="thin">
        <color rgb="FFB2B2B2"/>
      </bottom>
      <diagonal/>
    </border>
    <border>
      <left style="thin">
        <color rgb="FF7F7F7F"/>
      </left>
      <right style="thin">
        <color rgb="FF7F7F7F"/>
      </right>
      <top style="thin">
        <color rgb="FF7F7F7F"/>
      </top>
      <bottom style="thin">
        <color rgb="FF7F7F7F"/>
      </bottom>
      <diagonal/>
    </border>
    <border>
      <left/>
      <right/>
      <top style="thin">
        <color theme="4"/>
      </top>
      <bottom style="double">
        <color theme="4"/>
      </bottom>
      <diagonal/>
    </border>
    <border>
      <left/>
      <right/>
      <top/>
      <bottom style="double">
        <color rgb="FFFF8001"/>
      </bottom>
      <diagonal/>
    </border>
    <border>
      <left style="thin">
        <color rgb="FF3F3F3F"/>
      </left>
      <right style="thin">
        <color rgb="FF3F3F3F"/>
      </right>
      <top style="thin">
        <color rgb="FF3F3F3F"/>
      </top>
      <bottom style="thin">
        <color rgb="FF3F3F3F"/>
      </bottom>
      <diagonal/>
    </border>
    <border>
      <left/>
      <right/>
      <top/>
      <bottom style="medium">
        <color theme="4" tint="0.499984740745262"/>
      </bottom>
      <diagonal/>
    </border>
    <border>
      <left style="double">
        <color rgb="FF3F3F3F"/>
      </left>
      <right style="double">
        <color rgb="FF3F3F3F"/>
      </right>
      <top style="double">
        <color rgb="FF3F3F3F"/>
      </top>
      <bottom style="double">
        <color rgb="FF3F3F3F"/>
      </bottom>
      <diagonal/>
    </border>
  </borders>
  <cellStyleXfs count="49">
    <xf numFmtId="0" fontId="0" fillId="0" borderId="0">
      <alignment vertical="center"/>
    </xf>
    <xf numFmtId="43" fontId="0" fillId="0" borderId="0" applyFont="0" applyFill="0" applyBorder="0" applyAlignment="0" applyProtection="0">
      <alignment vertical="center"/>
    </xf>
    <xf numFmtId="0" fontId="6" fillId="12" borderId="3" applyNumberFormat="0" applyAlignment="0" applyProtection="0">
      <alignment vertical="center"/>
    </xf>
    <xf numFmtId="178" fontId="0" fillId="0" borderId="0" applyFont="0" applyFill="0" applyBorder="0" applyAlignment="0" applyProtection="0">
      <alignment vertical="center"/>
    </xf>
    <xf numFmtId="177" fontId="0" fillId="0" borderId="0" applyFont="0" applyFill="0" applyBorder="0" applyAlignment="0" applyProtection="0">
      <alignment vertical="center"/>
    </xf>
    <xf numFmtId="0" fontId="2" fillId="13" borderId="0" applyNumberFormat="0" applyBorder="0" applyAlignment="0" applyProtection="0">
      <alignment vertical="center"/>
    </xf>
    <xf numFmtId="176" fontId="0" fillId="0" borderId="0" applyFont="0" applyFill="0" applyBorder="0" applyAlignment="0" applyProtection="0">
      <alignment vertical="center"/>
    </xf>
    <xf numFmtId="9" fontId="0" fillId="0" borderId="0" applyFont="0" applyFill="0" applyBorder="0" applyAlignment="0" applyProtection="0">
      <alignment vertical="center"/>
    </xf>
    <xf numFmtId="0" fontId="9" fillId="0" borderId="0" applyNumberFormat="0" applyFill="0" applyBorder="0" applyAlignment="0" applyProtection="0">
      <alignment vertical="center"/>
    </xf>
    <xf numFmtId="0" fontId="1" fillId="14" borderId="0" applyNumberFormat="0" applyBorder="0" applyAlignment="0" applyProtection="0">
      <alignment vertical="center"/>
    </xf>
    <xf numFmtId="0" fontId="10" fillId="0" borderId="0" applyNumberFormat="0" applyFill="0" applyBorder="0" applyAlignment="0" applyProtection="0">
      <alignment vertical="center"/>
    </xf>
    <xf numFmtId="0" fontId="2" fillId="18" borderId="0" applyNumberFormat="0" applyBorder="0" applyAlignment="0" applyProtection="0">
      <alignment vertical="center"/>
    </xf>
    <xf numFmtId="0" fontId="0" fillId="8" borderId="2" applyNumberFormat="0" applyFont="0" applyAlignment="0" applyProtection="0">
      <alignment vertical="center"/>
    </xf>
    <xf numFmtId="0" fontId="12" fillId="19" borderId="0" applyNumberFormat="0" applyBorder="0" applyAlignment="0" applyProtection="0">
      <alignment vertical="center"/>
    </xf>
    <xf numFmtId="0" fontId="3" fillId="0" borderId="0" applyNumberFormat="0" applyFill="0" applyBorder="0" applyAlignment="0" applyProtection="0">
      <alignment vertical="center"/>
    </xf>
    <xf numFmtId="0" fontId="13" fillId="0" borderId="5" applyNumberFormat="0" applyFill="0" applyAlignment="0" applyProtection="0">
      <alignment vertical="center"/>
    </xf>
    <xf numFmtId="0" fontId="5" fillId="0" borderId="0" applyNumberFormat="0" applyFill="0" applyBorder="0" applyAlignment="0" applyProtection="0">
      <alignment vertical="center"/>
    </xf>
    <xf numFmtId="0" fontId="8" fillId="0" borderId="0" applyNumberFormat="0" applyFill="0" applyBorder="0" applyAlignment="0" applyProtection="0">
      <alignment vertical="center"/>
    </xf>
    <xf numFmtId="0" fontId="1" fillId="7" borderId="0" applyNumberFormat="0" applyBorder="0" applyAlignment="0" applyProtection="0">
      <alignment vertical="center"/>
    </xf>
    <xf numFmtId="0" fontId="14" fillId="23" borderId="6" applyNumberFormat="0" applyAlignment="0" applyProtection="0">
      <alignment vertical="center"/>
    </xf>
    <xf numFmtId="0" fontId="7" fillId="0" borderId="1" applyNumberFormat="0" applyFill="0" applyAlignment="0" applyProtection="0">
      <alignment vertical="center"/>
    </xf>
    <xf numFmtId="0" fontId="4" fillId="0" borderId="1" applyNumberFormat="0" applyFill="0" applyAlignment="0" applyProtection="0">
      <alignment vertical="center"/>
    </xf>
    <xf numFmtId="0" fontId="15" fillId="23" borderId="3" applyNumberFormat="0" applyAlignment="0" applyProtection="0">
      <alignment vertical="center"/>
    </xf>
    <xf numFmtId="0" fontId="16" fillId="0" borderId="7" applyNumberFormat="0" applyFill="0" applyAlignment="0" applyProtection="0">
      <alignment vertical="center"/>
    </xf>
    <xf numFmtId="0" fontId="16" fillId="0" borderId="0" applyNumberFormat="0" applyFill="0" applyBorder="0" applyAlignment="0" applyProtection="0">
      <alignment vertical="center"/>
    </xf>
    <xf numFmtId="0" fontId="1" fillId="25" borderId="0" applyNumberFormat="0" applyBorder="0" applyAlignment="0" applyProtection="0">
      <alignment vertical="center"/>
    </xf>
    <xf numFmtId="0" fontId="17" fillId="26" borderId="8" applyNumberFormat="0" applyAlignment="0" applyProtection="0">
      <alignment vertical="center"/>
    </xf>
    <xf numFmtId="0" fontId="2" fillId="30" borderId="0" applyNumberFormat="0" applyBorder="0" applyAlignment="0" applyProtection="0">
      <alignment vertical="center"/>
    </xf>
    <xf numFmtId="0" fontId="11" fillId="0" borderId="4" applyNumberFormat="0" applyFill="0" applyAlignment="0" applyProtection="0">
      <alignment vertical="center"/>
    </xf>
    <xf numFmtId="0" fontId="19" fillId="31" borderId="0" applyNumberFormat="0" applyBorder="0" applyAlignment="0" applyProtection="0">
      <alignment vertical="center"/>
    </xf>
    <xf numFmtId="0" fontId="18" fillId="29" borderId="0" applyNumberFormat="0" applyBorder="0" applyAlignment="0" applyProtection="0">
      <alignment vertical="center"/>
    </xf>
    <xf numFmtId="0" fontId="1" fillId="28" borderId="0" applyNumberFormat="0" applyBorder="0" applyAlignment="0" applyProtection="0">
      <alignment vertical="center"/>
    </xf>
    <xf numFmtId="0" fontId="2" fillId="20" borderId="0" applyNumberFormat="0" applyBorder="0" applyAlignment="0" applyProtection="0">
      <alignment vertical="center"/>
    </xf>
    <xf numFmtId="0" fontId="2" fillId="4" borderId="0" applyNumberFormat="0" applyBorder="0" applyAlignment="0" applyProtection="0">
      <alignment vertical="center"/>
    </xf>
    <xf numFmtId="0" fontId="1" fillId="27" borderId="0" applyNumberFormat="0" applyBorder="0" applyAlignment="0" applyProtection="0">
      <alignment vertical="center"/>
    </xf>
    <xf numFmtId="0" fontId="2" fillId="22" borderId="0" applyNumberFormat="0" applyBorder="0" applyAlignment="0" applyProtection="0">
      <alignment vertical="center"/>
    </xf>
    <xf numFmtId="0" fontId="2" fillId="24" borderId="0" applyNumberFormat="0" applyBorder="0" applyAlignment="0" applyProtection="0">
      <alignment vertical="center"/>
    </xf>
    <xf numFmtId="0" fontId="2" fillId="3" borderId="0" applyNumberFormat="0" applyBorder="0" applyAlignment="0" applyProtection="0">
      <alignment vertical="center"/>
    </xf>
    <xf numFmtId="0" fontId="1" fillId="17" borderId="0" applyNumberFormat="0" applyBorder="0" applyAlignment="0" applyProtection="0">
      <alignment vertical="center"/>
    </xf>
    <xf numFmtId="0" fontId="1" fillId="16" borderId="0" applyNumberFormat="0" applyBorder="0" applyAlignment="0" applyProtection="0">
      <alignment vertical="center"/>
    </xf>
    <xf numFmtId="0" fontId="2" fillId="21" borderId="0" applyNumberFormat="0" applyBorder="0" applyAlignment="0" applyProtection="0">
      <alignment vertical="center"/>
    </xf>
    <xf numFmtId="0" fontId="2" fillId="15" borderId="0" applyNumberFormat="0" applyBorder="0" applyAlignment="0" applyProtection="0">
      <alignment vertical="center"/>
    </xf>
    <xf numFmtId="0" fontId="1" fillId="11" borderId="0" applyNumberFormat="0" applyBorder="0" applyAlignment="0" applyProtection="0">
      <alignment vertical="center"/>
    </xf>
    <xf numFmtId="0" fontId="1" fillId="10" borderId="0" applyNumberFormat="0" applyBorder="0" applyAlignment="0" applyProtection="0">
      <alignment vertical="center"/>
    </xf>
    <xf numFmtId="0" fontId="2" fillId="9" borderId="0" applyNumberFormat="0" applyBorder="0" applyAlignment="0" applyProtection="0">
      <alignment vertical="center"/>
    </xf>
    <xf numFmtId="0" fontId="1" fillId="32" borderId="0" applyNumberFormat="0" applyBorder="0" applyAlignment="0" applyProtection="0">
      <alignment vertical="center"/>
    </xf>
    <xf numFmtId="0" fontId="1" fillId="2" borderId="0" applyNumberFormat="0" applyBorder="0" applyAlignment="0" applyProtection="0">
      <alignment vertical="center"/>
    </xf>
    <xf numFmtId="0" fontId="2" fillId="6" borderId="0" applyNumberFormat="0" applyBorder="0" applyAlignment="0" applyProtection="0">
      <alignment vertical="center"/>
    </xf>
    <xf numFmtId="0" fontId="1" fillId="5" borderId="0" applyNumberFormat="0" applyBorder="0" applyAlignment="0" applyProtection="0">
      <alignment vertical="center"/>
    </xf>
  </cellStyleXfs>
  <cellXfs count="3">
    <xf numFmtId="0" fontId="0" fillId="0" borderId="0" xfId="0">
      <alignment vertical="center"/>
    </xf>
    <xf numFmtId="0" fontId="0" fillId="0" borderId="0" xfId="0" applyAlignment="1">
      <alignment vertical="center" wrapText="1"/>
    </xf>
    <xf numFmtId="49" fontId="0" fillId="0" borderId="0" xfId="0" applyNumberFormat="1">
      <alignment vertical="center"/>
    </xf>
  </cellXfs>
  <cellStyles count="49">
    <cellStyle name="標準" xfId="0" builtinId="0"/>
    <cellStyle name="桁区切り[0]" xfId="1" builtinId="6"/>
    <cellStyle name="入力" xfId="2" builtinId="20"/>
    <cellStyle name="桁区切り" xfId="3" builtinId="3"/>
    <cellStyle name="通貨[0]" xfId="4" builtinId="7"/>
    <cellStyle name="40% - アクセント 5" xfId="5" builtinId="47"/>
    <cellStyle name="通貨" xfId="6" builtinId="4"/>
    <cellStyle name="パーセント" xfId="7" builtinId="5"/>
    <cellStyle name="ハイパーリンク" xfId="8" builtinId="8"/>
    <cellStyle name="アクセント 2" xfId="9" builtinId="33"/>
    <cellStyle name="訪問済ハイパーリンク" xfId="10" builtinId="9"/>
    <cellStyle name="20% - アクセント 4" xfId="11" builtinId="42"/>
    <cellStyle name="メモ" xfId="12" builtinId="10"/>
    <cellStyle name="良い" xfId="13" builtinId="26"/>
    <cellStyle name="警告文" xfId="14" builtinId="11"/>
    <cellStyle name="リンクセル" xfId="15" builtinId="24"/>
    <cellStyle name="タイトル" xfId="16" builtinId="15"/>
    <cellStyle name="説明文" xfId="17" builtinId="53"/>
    <cellStyle name="アクセント 6" xfId="18" builtinId="49"/>
    <cellStyle name="出力" xfId="19" builtinId="21"/>
    <cellStyle name="見出し 1" xfId="20" builtinId="16"/>
    <cellStyle name="見出し 2" xfId="21" builtinId="17"/>
    <cellStyle name="計算" xfId="22" builtinId="22"/>
    <cellStyle name="見出し 3" xfId="23" builtinId="18"/>
    <cellStyle name="見出し 4" xfId="24" builtinId="19"/>
    <cellStyle name="60% - アクセント 5" xfId="25" builtinId="48"/>
    <cellStyle name="チェックセル" xfId="26" builtinId="23"/>
    <cellStyle name="40% - アクセント 1" xfId="27" builtinId="31"/>
    <cellStyle name="集計" xfId="28" builtinId="25"/>
    <cellStyle name="悪い" xfId="29" builtinId="27"/>
    <cellStyle name="どちらでもない" xfId="30" builtinId="28"/>
    <cellStyle name="アクセント 1" xfId="31" builtinId="29"/>
    <cellStyle name="20% - アクセント 1" xfId="32" builtinId="30"/>
    <cellStyle name="20% - アクセント 5" xfId="33" builtinId="46"/>
    <cellStyle name="60% - アクセント 1" xfId="34" builtinId="32"/>
    <cellStyle name="20% - アクセント 2" xfId="35" builtinId="34"/>
    <cellStyle name="40% - アクセント 2" xfId="36" builtinId="35"/>
    <cellStyle name="20% - アクセント 6" xfId="37" builtinId="50"/>
    <cellStyle name="60% - アクセント 2" xfId="38" builtinId="36"/>
    <cellStyle name="アクセント 3" xfId="39" builtinId="37"/>
    <cellStyle name="20% - アクセント 3" xfId="40" builtinId="38"/>
    <cellStyle name="40% - アクセント 3" xfId="41" builtinId="39"/>
    <cellStyle name="60% - アクセント 3" xfId="42" builtinId="40"/>
    <cellStyle name="アクセント 4" xfId="43" builtinId="41"/>
    <cellStyle name="40% - アクセント 4" xfId="44" builtinId="43"/>
    <cellStyle name="60% - アクセント 4" xfId="45" builtinId="44"/>
    <cellStyle name="アクセント 5" xfId="46" builtinId="45"/>
    <cellStyle name="40% - アクセント 6" xfId="47" builtinId="51"/>
    <cellStyle name="60% - アクセント 6" xfId="48" builtinId="52"/>
  </cellStyle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7" Type="http://schemas.openxmlformats.org/officeDocument/2006/relationships/sharedStrings" Target="sharedStrings.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G12"/>
  <sheetViews>
    <sheetView tabSelected="1" topLeftCell="B1" workbookViewId="0">
      <selection activeCell="L8" sqref="L8"/>
    </sheetView>
  </sheetViews>
  <sheetFormatPr defaultColWidth="9" defaultRowHeight="13"/>
  <cols>
    <col min="3" max="3" width="11.6363636363636" customWidth="1"/>
    <col min="4" max="4" width="23" customWidth="1"/>
    <col min="7" max="7" width="9" style="2"/>
  </cols>
  <sheetData>
    <row r="1" spans="1:33">
      <c r="A1" t="s">
        <v>0</v>
      </c>
      <c r="B1" t="s">
        <v>1</v>
      </c>
      <c r="C1" t="s">
        <v>2</v>
      </c>
      <c r="D1" t="s">
        <v>2</v>
      </c>
      <c r="E1" t="s">
        <v>3</v>
      </c>
      <c r="F1" t="s">
        <v>4</v>
      </c>
      <c r="G1" s="2" t="s">
        <v>5</v>
      </c>
      <c r="H1" t="s">
        <v>6</v>
      </c>
      <c r="I1" t="s">
        <v>7</v>
      </c>
      <c r="J1" t="s">
        <v>8</v>
      </c>
      <c r="K1" t="s">
        <v>9</v>
      </c>
      <c r="L1" t="s">
        <v>10</v>
      </c>
      <c r="M1" t="s">
        <v>11</v>
      </c>
      <c r="N1" t="s">
        <v>12</v>
      </c>
      <c r="O1" t="s">
        <v>13</v>
      </c>
      <c r="P1" t="s">
        <v>14</v>
      </c>
      <c r="Q1" t="s">
        <v>15</v>
      </c>
      <c r="R1" t="s">
        <v>16</v>
      </c>
      <c r="S1" t="s">
        <v>17</v>
      </c>
      <c r="T1" t="s">
        <v>18</v>
      </c>
      <c r="U1" t="s">
        <v>19</v>
      </c>
      <c r="V1" t="s">
        <v>20</v>
      </c>
      <c r="W1" t="s">
        <v>21</v>
      </c>
      <c r="X1" t="s">
        <v>22</v>
      </c>
      <c r="Y1" t="s">
        <v>23</v>
      </c>
      <c r="Z1" t="s">
        <v>24</v>
      </c>
      <c r="AA1" t="s">
        <v>25</v>
      </c>
      <c r="AB1" t="s">
        <v>26</v>
      </c>
      <c r="AC1" t="s">
        <v>27</v>
      </c>
      <c r="AD1" t="s">
        <v>28</v>
      </c>
      <c r="AE1" t="s">
        <v>29</v>
      </c>
      <c r="AF1" t="s">
        <v>30</v>
      </c>
      <c r="AG1" t="s">
        <v>31</v>
      </c>
    </row>
    <row r="2" spans="1:33">
      <c r="A2">
        <v>1</v>
      </c>
      <c r="B2">
        <v>1</v>
      </c>
      <c r="C2" t="str">
        <f>INDEX(TextData!B:B,MATCH(B2,TextData!A:A))</f>
        <v>ミカ</v>
      </c>
      <c r="D2" t="str">
        <f>INDEX(TextData!C:C,MATCH(B2,TextData!A:A))</f>
        <v>【煉獄棘姫】</v>
      </c>
      <c r="E2">
        <v>1</v>
      </c>
      <c r="F2">
        <v>1</v>
      </c>
      <c r="G2" s="2" t="s">
        <v>32</v>
      </c>
      <c r="H2">
        <v>1</v>
      </c>
      <c r="I2">
        <v>99</v>
      </c>
      <c r="J2">
        <v>39</v>
      </c>
      <c r="K2">
        <v>0</v>
      </c>
      <c r="L2">
        <v>30</v>
      </c>
      <c r="M2">
        <v>15</v>
      </c>
      <c r="N2">
        <v>15</v>
      </c>
      <c r="O2">
        <v>55</v>
      </c>
      <c r="P2">
        <v>0</v>
      </c>
      <c r="Q2">
        <v>60</v>
      </c>
      <c r="R2">
        <v>30</v>
      </c>
      <c r="S2">
        <v>35</v>
      </c>
      <c r="T2">
        <v>1</v>
      </c>
      <c r="U2">
        <v>2</v>
      </c>
      <c r="V2">
        <v>6</v>
      </c>
      <c r="W2">
        <v>3</v>
      </c>
      <c r="X2">
        <v>6</v>
      </c>
      <c r="Y2">
        <v>-10</v>
      </c>
      <c r="Z2">
        <v>-54</v>
      </c>
      <c r="AA2">
        <v>0.75</v>
      </c>
      <c r="AB2">
        <v>0</v>
      </c>
      <c r="AC2">
        <v>0</v>
      </c>
      <c r="AD2">
        <v>1</v>
      </c>
      <c r="AE2">
        <v>0</v>
      </c>
      <c r="AF2">
        <v>0</v>
      </c>
      <c r="AG2">
        <v>0</v>
      </c>
    </row>
    <row r="3" spans="1:33">
      <c r="A3">
        <v>2</v>
      </c>
      <c r="B3">
        <v>2</v>
      </c>
      <c r="C3" t="str">
        <f>INDEX(TextData!B:B,MATCH(B3,TextData!A:A))</f>
        <v>エリザベート</v>
      </c>
      <c r="D3" t="str">
        <f>INDEX(TextData!C:C,MATCH(B3,TextData!A:A))</f>
        <v>【ChargeCommander】</v>
      </c>
      <c r="E3">
        <v>2</v>
      </c>
      <c r="F3">
        <v>1</v>
      </c>
      <c r="G3" s="2" t="s">
        <v>33</v>
      </c>
      <c r="H3">
        <v>1</v>
      </c>
      <c r="I3">
        <v>99</v>
      </c>
      <c r="J3">
        <v>29</v>
      </c>
      <c r="K3">
        <v>0</v>
      </c>
      <c r="L3">
        <v>21</v>
      </c>
      <c r="M3">
        <v>5</v>
      </c>
      <c r="N3">
        <v>28</v>
      </c>
      <c r="O3">
        <v>60</v>
      </c>
      <c r="P3">
        <v>0</v>
      </c>
      <c r="Q3">
        <v>40</v>
      </c>
      <c r="R3">
        <v>10</v>
      </c>
      <c r="S3">
        <v>70</v>
      </c>
      <c r="T3">
        <v>2</v>
      </c>
      <c r="U3">
        <v>1</v>
      </c>
      <c r="V3">
        <v>5</v>
      </c>
      <c r="W3">
        <v>7</v>
      </c>
      <c r="X3">
        <v>3</v>
      </c>
      <c r="Y3">
        <v>-20</v>
      </c>
      <c r="Z3">
        <v>-52</v>
      </c>
      <c r="AA3">
        <v>0.71</v>
      </c>
      <c r="AB3">
        <v>0</v>
      </c>
      <c r="AC3">
        <v>0</v>
      </c>
      <c r="AD3">
        <v>1</v>
      </c>
      <c r="AE3">
        <v>0</v>
      </c>
      <c r="AF3">
        <v>0</v>
      </c>
      <c r="AG3">
        <v>0</v>
      </c>
    </row>
    <row r="4" spans="1:33">
      <c r="A4">
        <v>3</v>
      </c>
      <c r="B4">
        <v>3</v>
      </c>
      <c r="C4" t="str">
        <f>INDEX(TextData!B:B,MATCH(B4,TextData!A:A))</f>
        <v>アリエス</v>
      </c>
      <c r="D4" t="str">
        <f>INDEX(TextData!C:C,MATCH(B4,TextData!A:A))</f>
        <v>【怠惰な守護少女】</v>
      </c>
      <c r="E4">
        <v>3</v>
      </c>
      <c r="F4">
        <v>2</v>
      </c>
      <c r="G4" s="2" t="s">
        <v>34</v>
      </c>
      <c r="H4">
        <v>1</v>
      </c>
      <c r="I4">
        <v>99</v>
      </c>
      <c r="J4">
        <v>35</v>
      </c>
      <c r="K4">
        <v>0</v>
      </c>
      <c r="L4">
        <v>17</v>
      </c>
      <c r="M4">
        <v>12</v>
      </c>
      <c r="N4">
        <v>9</v>
      </c>
      <c r="O4">
        <v>85</v>
      </c>
      <c r="P4">
        <v>0</v>
      </c>
      <c r="Q4">
        <v>25</v>
      </c>
      <c r="R4">
        <v>40</v>
      </c>
      <c r="S4">
        <v>25</v>
      </c>
      <c r="T4">
        <v>3</v>
      </c>
      <c r="U4">
        <v>6</v>
      </c>
      <c r="V4">
        <v>1</v>
      </c>
      <c r="W4">
        <v>2</v>
      </c>
      <c r="X4">
        <v>6</v>
      </c>
      <c r="Y4">
        <v>-10</v>
      </c>
      <c r="Z4">
        <v>-64</v>
      </c>
      <c r="AA4">
        <v>0.82</v>
      </c>
      <c r="AB4">
        <v>0</v>
      </c>
      <c r="AC4">
        <v>0</v>
      </c>
      <c r="AD4">
        <v>1</v>
      </c>
      <c r="AE4">
        <v>0</v>
      </c>
      <c r="AF4">
        <v>0</v>
      </c>
      <c r="AG4">
        <v>0</v>
      </c>
    </row>
    <row r="5" spans="1:33">
      <c r="A5">
        <v>4</v>
      </c>
      <c r="B5">
        <v>4</v>
      </c>
      <c r="C5" t="str">
        <f>INDEX(TextData!B:B,MATCH(B5,TextData!A:A))</f>
        <v>シイナ</v>
      </c>
      <c r="D5" t="str">
        <f>INDEX(TextData!C:C,MATCH(B5,TextData!A:A))</f>
        <v>【イノセント・リメディ】</v>
      </c>
      <c r="E5">
        <v>4</v>
      </c>
      <c r="F5">
        <v>4</v>
      </c>
      <c r="G5" s="2" t="s">
        <v>35</v>
      </c>
      <c r="H5">
        <v>1</v>
      </c>
      <c r="I5">
        <v>99</v>
      </c>
      <c r="J5">
        <v>32</v>
      </c>
      <c r="K5">
        <v>0</v>
      </c>
      <c r="L5">
        <v>15</v>
      </c>
      <c r="M5">
        <v>7</v>
      </c>
      <c r="N5">
        <v>21</v>
      </c>
      <c r="O5">
        <v>85</v>
      </c>
      <c r="P5">
        <v>0</v>
      </c>
      <c r="Q5">
        <v>35</v>
      </c>
      <c r="R5">
        <v>15</v>
      </c>
      <c r="S5">
        <v>30</v>
      </c>
      <c r="T5">
        <v>4</v>
      </c>
      <c r="U5">
        <v>3</v>
      </c>
      <c r="V5">
        <v>3</v>
      </c>
      <c r="W5">
        <v>1</v>
      </c>
      <c r="X5">
        <v>7</v>
      </c>
      <c r="Y5">
        <v>-4</v>
      </c>
      <c r="Z5">
        <v>-68</v>
      </c>
      <c r="AA5">
        <v>0.8</v>
      </c>
      <c r="AB5">
        <v>0</v>
      </c>
      <c r="AC5">
        <v>0</v>
      </c>
      <c r="AD5">
        <v>1</v>
      </c>
      <c r="AE5">
        <v>0</v>
      </c>
      <c r="AF5">
        <v>0</v>
      </c>
      <c r="AG5">
        <v>0</v>
      </c>
    </row>
    <row r="6" spans="1:33">
      <c r="A6">
        <v>5</v>
      </c>
      <c r="B6">
        <v>5</v>
      </c>
      <c r="C6" t="str">
        <f>INDEX(TextData!B:B,MATCH(B6,TextData!A:A))</f>
        <v>レダ</v>
      </c>
      <c r="D6" t="str">
        <f>INDEX(TextData!C:C,MATCH(B6,TextData!A:A))</f>
        <v>【Self-sacrifice】</v>
      </c>
      <c r="E6">
        <v>5</v>
      </c>
      <c r="F6">
        <v>5</v>
      </c>
      <c r="G6" s="2" t="s">
        <v>36</v>
      </c>
      <c r="H6">
        <v>1</v>
      </c>
      <c r="I6">
        <v>99</v>
      </c>
      <c r="J6">
        <v>29</v>
      </c>
      <c r="K6">
        <v>0</v>
      </c>
      <c r="L6">
        <v>12</v>
      </c>
      <c r="M6">
        <v>9</v>
      </c>
      <c r="N6">
        <v>12</v>
      </c>
      <c r="O6">
        <v>70</v>
      </c>
      <c r="P6">
        <v>0</v>
      </c>
      <c r="Q6">
        <v>30</v>
      </c>
      <c r="R6">
        <v>40</v>
      </c>
      <c r="S6">
        <v>45</v>
      </c>
      <c r="T6">
        <v>4</v>
      </c>
      <c r="U6">
        <v>6</v>
      </c>
      <c r="V6">
        <v>2</v>
      </c>
      <c r="W6">
        <v>5</v>
      </c>
      <c r="X6">
        <v>1</v>
      </c>
      <c r="Y6">
        <v>-8</v>
      </c>
      <c r="Z6">
        <v>-44</v>
      </c>
      <c r="AA6">
        <v>0.82</v>
      </c>
      <c r="AB6">
        <v>0</v>
      </c>
      <c r="AC6">
        <v>0</v>
      </c>
      <c r="AD6">
        <v>1</v>
      </c>
      <c r="AE6">
        <v>0</v>
      </c>
      <c r="AF6">
        <v>0</v>
      </c>
      <c r="AG6">
        <v>0</v>
      </c>
    </row>
    <row r="7" spans="1:33">
      <c r="A7">
        <v>6</v>
      </c>
      <c r="B7">
        <v>6</v>
      </c>
      <c r="C7" t="str">
        <f>INDEX(TextData!B:B,MATCH(B7,TextData!A:A))</f>
        <v>リシェリ</v>
      </c>
      <c r="D7" t="str">
        <f>INDEX(TextData!C:C,MATCH(B7,TextData!A:A))</f>
        <v>【Faked-Magician】</v>
      </c>
      <c r="E7">
        <v>6</v>
      </c>
      <c r="F7">
        <v>3</v>
      </c>
      <c r="G7" s="2" t="s">
        <v>37</v>
      </c>
      <c r="H7">
        <v>1</v>
      </c>
      <c r="I7">
        <v>99</v>
      </c>
      <c r="J7">
        <v>30</v>
      </c>
      <c r="K7">
        <v>0</v>
      </c>
      <c r="L7">
        <v>20</v>
      </c>
      <c r="M7">
        <v>19</v>
      </c>
      <c r="N7">
        <v>20</v>
      </c>
      <c r="O7">
        <v>40</v>
      </c>
      <c r="P7">
        <v>0</v>
      </c>
      <c r="Q7">
        <v>50</v>
      </c>
      <c r="R7">
        <v>50</v>
      </c>
      <c r="S7">
        <v>50</v>
      </c>
      <c r="T7">
        <v>1</v>
      </c>
      <c r="U7">
        <v>6</v>
      </c>
      <c r="V7">
        <v>2</v>
      </c>
      <c r="W7">
        <v>6</v>
      </c>
      <c r="X7">
        <v>3</v>
      </c>
      <c r="Y7">
        <v>48</v>
      </c>
      <c r="Z7">
        <v>-68</v>
      </c>
      <c r="AA7">
        <v>0.76</v>
      </c>
      <c r="AB7">
        <v>0</v>
      </c>
      <c r="AC7">
        <v>0</v>
      </c>
      <c r="AD7">
        <v>1</v>
      </c>
      <c r="AE7">
        <v>0</v>
      </c>
      <c r="AF7">
        <v>0</v>
      </c>
      <c r="AG7">
        <v>0</v>
      </c>
    </row>
    <row r="8" spans="1:33">
      <c r="A8">
        <v>7</v>
      </c>
      <c r="B8">
        <v>7</v>
      </c>
      <c r="C8" t="str">
        <f>INDEX(TextData!B:B,MATCH(B8,TextData!A:A))</f>
        <v>ユニ</v>
      </c>
      <c r="D8" t="str">
        <f>INDEX(TextData!C:C,MATCH(B8,TextData!A:A))</f>
        <v>【奇跡の乙女】</v>
      </c>
      <c r="E8">
        <v>7</v>
      </c>
      <c r="F8">
        <v>3</v>
      </c>
      <c r="G8" s="2" t="s">
        <v>38</v>
      </c>
      <c r="H8">
        <v>1</v>
      </c>
      <c r="I8">
        <v>99</v>
      </c>
      <c r="J8">
        <v>40</v>
      </c>
      <c r="K8">
        <v>0</v>
      </c>
      <c r="L8">
        <v>22</v>
      </c>
      <c r="M8">
        <v>18</v>
      </c>
      <c r="N8">
        <v>16</v>
      </c>
      <c r="O8">
        <v>65</v>
      </c>
      <c r="P8">
        <v>0</v>
      </c>
      <c r="Q8">
        <v>45</v>
      </c>
      <c r="R8">
        <v>40</v>
      </c>
      <c r="S8">
        <v>30</v>
      </c>
      <c r="T8">
        <v>4</v>
      </c>
      <c r="U8">
        <v>1</v>
      </c>
      <c r="V8">
        <v>4</v>
      </c>
      <c r="W8">
        <v>3</v>
      </c>
      <c r="X8">
        <v>4</v>
      </c>
      <c r="Y8">
        <v>-20</v>
      </c>
      <c r="Z8">
        <v>-60</v>
      </c>
      <c r="AA8">
        <v>0.79</v>
      </c>
      <c r="AB8">
        <v>0</v>
      </c>
      <c r="AC8">
        <v>0</v>
      </c>
      <c r="AD8">
        <v>1</v>
      </c>
      <c r="AE8">
        <v>0</v>
      </c>
      <c r="AF8">
        <v>0</v>
      </c>
      <c r="AG8">
        <v>0</v>
      </c>
    </row>
    <row r="9" spans="1:33">
      <c r="A9">
        <v>8</v>
      </c>
      <c r="B9">
        <v>8</v>
      </c>
      <c r="C9" t="str">
        <f>INDEX(TextData!B:B,MATCH(B9,TextData!A:A))</f>
        <v>マリーベル</v>
      </c>
      <c r="D9" t="str">
        <f>INDEX(TextData!C:C,MATCH(B9,TextData!A:A))</f>
        <v>【唯心の在処】</v>
      </c>
      <c r="E9">
        <v>8</v>
      </c>
      <c r="F9">
        <v>2</v>
      </c>
      <c r="G9" s="2" t="s">
        <v>39</v>
      </c>
      <c r="H9">
        <v>1</v>
      </c>
      <c r="I9">
        <v>99</v>
      </c>
      <c r="J9">
        <v>37</v>
      </c>
      <c r="K9">
        <v>0</v>
      </c>
      <c r="L9">
        <v>15</v>
      </c>
      <c r="M9">
        <v>21</v>
      </c>
      <c r="N9">
        <v>16</v>
      </c>
      <c r="O9">
        <v>80</v>
      </c>
      <c r="P9">
        <v>0</v>
      </c>
      <c r="Q9">
        <v>40</v>
      </c>
      <c r="R9">
        <v>60</v>
      </c>
      <c r="S9">
        <v>35</v>
      </c>
      <c r="T9">
        <v>6</v>
      </c>
      <c r="U9">
        <v>2</v>
      </c>
      <c r="V9">
        <v>1</v>
      </c>
      <c r="W9">
        <v>5</v>
      </c>
      <c r="X9">
        <v>4</v>
      </c>
      <c r="Y9">
        <v>-52</v>
      </c>
      <c r="Z9">
        <v>-52</v>
      </c>
      <c r="AA9">
        <v>0.8</v>
      </c>
      <c r="AB9">
        <v>0</v>
      </c>
      <c r="AC9">
        <v>0</v>
      </c>
      <c r="AD9">
        <v>1</v>
      </c>
      <c r="AE9">
        <v>0</v>
      </c>
      <c r="AF9">
        <v>0</v>
      </c>
      <c r="AG9">
        <v>0</v>
      </c>
    </row>
    <row r="10" spans="1:33">
      <c r="A10">
        <v>9</v>
      </c>
      <c r="B10">
        <v>9</v>
      </c>
      <c r="C10" t="str">
        <f>INDEX(TextData!B:B,MATCH(B10,TextData!A:A))</f>
        <v>ナツキ</v>
      </c>
      <c r="D10" t="str">
        <f>INDEX(TextData!C:C,MATCH(B10,TextData!A:A))</f>
        <v>【黄昏ニヒリスト】</v>
      </c>
      <c r="E10">
        <v>9</v>
      </c>
      <c r="F10">
        <v>1</v>
      </c>
      <c r="G10" s="2" t="s">
        <v>40</v>
      </c>
      <c r="H10">
        <v>1</v>
      </c>
      <c r="I10">
        <v>99</v>
      </c>
      <c r="J10">
        <v>34</v>
      </c>
      <c r="K10">
        <v>0</v>
      </c>
      <c r="L10">
        <v>25</v>
      </c>
      <c r="M10">
        <v>12</v>
      </c>
      <c r="N10">
        <v>24</v>
      </c>
      <c r="O10">
        <v>25</v>
      </c>
      <c r="P10">
        <v>0</v>
      </c>
      <c r="Q10">
        <v>65</v>
      </c>
      <c r="R10">
        <v>30</v>
      </c>
      <c r="S10">
        <v>50</v>
      </c>
      <c r="T10">
        <v>1</v>
      </c>
      <c r="U10">
        <v>4</v>
      </c>
      <c r="V10">
        <v>4</v>
      </c>
      <c r="W10">
        <v>7</v>
      </c>
      <c r="X10">
        <v>2</v>
      </c>
      <c r="Y10">
        <v>-16</v>
      </c>
      <c r="Z10">
        <v>-52</v>
      </c>
      <c r="AA10">
        <v>0.75</v>
      </c>
      <c r="AB10">
        <v>0</v>
      </c>
      <c r="AC10">
        <v>0</v>
      </c>
      <c r="AD10">
        <v>1</v>
      </c>
      <c r="AE10">
        <v>0</v>
      </c>
      <c r="AF10">
        <v>0</v>
      </c>
      <c r="AG10">
        <v>0</v>
      </c>
    </row>
    <row r="11" spans="1:33">
      <c r="A11">
        <v>10</v>
      </c>
      <c r="B11">
        <v>10</v>
      </c>
      <c r="C11" t="str">
        <f>INDEX(TextData!B:B,MATCH(B11,TextData!A:A))</f>
        <v>メリアドール</v>
      </c>
      <c r="D11" t="str">
        <f>INDEX(TextData!C:C,MATCH(B11,TextData!A:A))</f>
        <v>【怨嗟の鎖】</v>
      </c>
      <c r="E11">
        <v>10</v>
      </c>
      <c r="F11">
        <v>5</v>
      </c>
      <c r="G11" s="2" t="s">
        <v>41</v>
      </c>
      <c r="H11">
        <v>1</v>
      </c>
      <c r="I11">
        <v>99</v>
      </c>
      <c r="J11">
        <v>30</v>
      </c>
      <c r="K11">
        <v>0</v>
      </c>
      <c r="L11">
        <v>17</v>
      </c>
      <c r="M11">
        <v>7</v>
      </c>
      <c r="N11">
        <v>31</v>
      </c>
      <c r="O11">
        <v>45</v>
      </c>
      <c r="P11">
        <v>0</v>
      </c>
      <c r="Q11">
        <v>30</v>
      </c>
      <c r="R11">
        <v>20</v>
      </c>
      <c r="S11">
        <v>75</v>
      </c>
      <c r="T11">
        <v>4</v>
      </c>
      <c r="U11">
        <v>1</v>
      </c>
      <c r="V11">
        <v>6</v>
      </c>
      <c r="W11">
        <v>5</v>
      </c>
      <c r="X11">
        <v>2</v>
      </c>
      <c r="Y11">
        <v>12</v>
      </c>
      <c r="Z11">
        <v>-64</v>
      </c>
      <c r="AA11">
        <v>0.77</v>
      </c>
      <c r="AB11">
        <v>0</v>
      </c>
      <c r="AC11">
        <v>0</v>
      </c>
      <c r="AD11">
        <v>1</v>
      </c>
      <c r="AE11">
        <v>0</v>
      </c>
      <c r="AF11">
        <v>0</v>
      </c>
      <c r="AG11">
        <v>0</v>
      </c>
    </row>
    <row r="12" spans="1:33">
      <c r="A12">
        <v>11</v>
      </c>
      <c r="B12">
        <v>11</v>
      </c>
      <c r="C12" t="str">
        <f>INDEX(TextData!B:B,MATCH(B12,TextData!A:A))</f>
        <v>セリナ</v>
      </c>
      <c r="D12" t="str">
        <f>INDEX(TextData!C:C,MATCH(B12,TextData!A:A))</f>
        <v>【氷雪の勿忘草】</v>
      </c>
      <c r="E12">
        <v>11</v>
      </c>
      <c r="F12">
        <v>1</v>
      </c>
      <c r="G12" s="2" t="s">
        <v>42</v>
      </c>
      <c r="H12">
        <v>1</v>
      </c>
      <c r="I12">
        <v>99</v>
      </c>
      <c r="J12">
        <v>33</v>
      </c>
      <c r="K12">
        <v>0</v>
      </c>
      <c r="L12">
        <v>18</v>
      </c>
      <c r="M12">
        <v>17</v>
      </c>
      <c r="N12">
        <v>18</v>
      </c>
      <c r="O12">
        <v>65</v>
      </c>
      <c r="P12">
        <v>0</v>
      </c>
      <c r="Q12">
        <v>40</v>
      </c>
      <c r="R12">
        <v>25</v>
      </c>
      <c r="S12">
        <v>30</v>
      </c>
      <c r="T12">
        <v>6</v>
      </c>
      <c r="U12">
        <v>6</v>
      </c>
      <c r="V12">
        <v>1</v>
      </c>
      <c r="W12">
        <v>3</v>
      </c>
      <c r="X12">
        <v>2</v>
      </c>
      <c r="Y12">
        <v>0</v>
      </c>
      <c r="Z12">
        <v>-54</v>
      </c>
      <c r="AA12">
        <v>0.87</v>
      </c>
      <c r="AB12">
        <v>0</v>
      </c>
      <c r="AC12">
        <v>0</v>
      </c>
      <c r="AD12">
        <v>1</v>
      </c>
      <c r="AE12">
        <v>0</v>
      </c>
      <c r="AF12">
        <v>0</v>
      </c>
      <c r="AG12">
        <v>0</v>
      </c>
    </row>
  </sheetData>
  <pageMargins left="0.7" right="0.7" top="0.75" bottom="0.75" header="0.3" footer="0.3"/>
  <pageSetup paperSize="9" orientation="portrait"/>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C45"/>
  <sheetViews>
    <sheetView topLeftCell="A16" workbookViewId="0">
      <selection activeCell="B18" sqref="B18"/>
    </sheetView>
  </sheetViews>
  <sheetFormatPr defaultColWidth="8.72727272727273" defaultRowHeight="13" outlineLevelCol="2"/>
  <cols>
    <col min="2" max="2" width="44.2727272727273" customWidth="1"/>
  </cols>
  <sheetData>
    <row r="1" spans="1:3">
      <c r="A1" t="s">
        <v>43</v>
      </c>
      <c r="B1" t="s">
        <v>44</v>
      </c>
      <c r="C1" t="s">
        <v>45</v>
      </c>
    </row>
    <row r="2" spans="1:3">
      <c r="A2">
        <v>1</v>
      </c>
      <c r="B2" t="s">
        <v>46</v>
      </c>
      <c r="C2">
        <v>0</v>
      </c>
    </row>
    <row r="3" spans="1:3">
      <c r="A3">
        <v>1</v>
      </c>
      <c r="B3">
        <v>11060</v>
      </c>
      <c r="C3">
        <v>11</v>
      </c>
    </row>
    <row r="4" spans="1:3">
      <c r="A4">
        <v>1</v>
      </c>
      <c r="B4">
        <v>401060</v>
      </c>
      <c r="C4">
        <v>26</v>
      </c>
    </row>
    <row r="5" spans="1:3">
      <c r="A5">
        <v>1</v>
      </c>
      <c r="B5">
        <v>1020</v>
      </c>
      <c r="C5">
        <v>41</v>
      </c>
    </row>
    <row r="6" spans="1:2">
      <c r="A6">
        <v>2</v>
      </c>
      <c r="B6" t="s">
        <v>47</v>
      </c>
    </row>
    <row r="7" spans="1:3">
      <c r="A7">
        <v>2</v>
      </c>
      <c r="B7">
        <v>12080</v>
      </c>
      <c r="C7">
        <v>11</v>
      </c>
    </row>
    <row r="8" spans="1:3">
      <c r="A8">
        <v>2</v>
      </c>
      <c r="B8">
        <v>12040</v>
      </c>
      <c r="C8">
        <v>26</v>
      </c>
    </row>
    <row r="9" spans="1:3">
      <c r="A9">
        <v>2</v>
      </c>
      <c r="B9">
        <v>2060</v>
      </c>
      <c r="C9">
        <v>41</v>
      </c>
    </row>
    <row r="10" spans="1:2">
      <c r="A10">
        <v>3</v>
      </c>
      <c r="B10" t="s">
        <v>48</v>
      </c>
    </row>
    <row r="11" spans="1:3">
      <c r="A11">
        <v>3</v>
      </c>
      <c r="B11">
        <v>13080</v>
      </c>
      <c r="C11">
        <v>11</v>
      </c>
    </row>
    <row r="12" spans="1:3">
      <c r="A12">
        <v>3</v>
      </c>
      <c r="B12">
        <v>403010</v>
      </c>
      <c r="C12">
        <v>26</v>
      </c>
    </row>
    <row r="13" spans="1:3">
      <c r="A13">
        <v>3</v>
      </c>
      <c r="B13">
        <v>3040</v>
      </c>
      <c r="C13">
        <v>41</v>
      </c>
    </row>
    <row r="14" spans="1:2">
      <c r="A14">
        <v>4</v>
      </c>
      <c r="B14" t="s">
        <v>49</v>
      </c>
    </row>
    <row r="15" spans="1:3">
      <c r="A15">
        <v>4</v>
      </c>
      <c r="B15">
        <v>14080</v>
      </c>
      <c r="C15">
        <v>11</v>
      </c>
    </row>
    <row r="16" spans="1:3">
      <c r="A16">
        <v>4</v>
      </c>
      <c r="B16">
        <v>404030</v>
      </c>
      <c r="C16">
        <v>26</v>
      </c>
    </row>
    <row r="17" spans="1:3">
      <c r="A17">
        <v>4</v>
      </c>
      <c r="B17">
        <v>4060</v>
      </c>
      <c r="C17">
        <v>41</v>
      </c>
    </row>
    <row r="18" spans="1:2">
      <c r="A18">
        <v>5</v>
      </c>
      <c r="B18" t="s">
        <v>50</v>
      </c>
    </row>
    <row r="19" spans="1:3">
      <c r="A19">
        <v>5</v>
      </c>
      <c r="B19">
        <v>15090</v>
      </c>
      <c r="C19">
        <v>11</v>
      </c>
    </row>
    <row r="20" spans="1:3">
      <c r="A20">
        <v>5</v>
      </c>
      <c r="B20">
        <v>405070</v>
      </c>
      <c r="C20">
        <v>26</v>
      </c>
    </row>
    <row r="21" spans="1:3">
      <c r="A21">
        <v>5</v>
      </c>
      <c r="B21">
        <v>5040</v>
      </c>
      <c r="C21">
        <v>41</v>
      </c>
    </row>
    <row r="22" spans="1:2">
      <c r="A22">
        <v>6</v>
      </c>
      <c r="B22" t="s">
        <v>51</v>
      </c>
    </row>
    <row r="23" spans="1:3">
      <c r="A23">
        <v>6</v>
      </c>
      <c r="B23">
        <v>11040</v>
      </c>
      <c r="C23">
        <v>11</v>
      </c>
    </row>
    <row r="24" spans="1:3">
      <c r="A24">
        <v>6</v>
      </c>
      <c r="B24">
        <v>401030</v>
      </c>
      <c r="C24">
        <v>26</v>
      </c>
    </row>
    <row r="25" spans="1:3">
      <c r="A25">
        <v>6</v>
      </c>
      <c r="B25">
        <v>1070</v>
      </c>
      <c r="C25">
        <v>41</v>
      </c>
    </row>
    <row r="26" spans="1:2">
      <c r="A26">
        <v>7</v>
      </c>
      <c r="B26" t="s">
        <v>52</v>
      </c>
    </row>
    <row r="27" spans="1:3">
      <c r="A27">
        <v>7</v>
      </c>
      <c r="B27">
        <v>12090</v>
      </c>
      <c r="C27">
        <v>11</v>
      </c>
    </row>
    <row r="28" spans="1:3">
      <c r="A28">
        <v>7</v>
      </c>
      <c r="B28">
        <v>412090</v>
      </c>
      <c r="C28">
        <v>26</v>
      </c>
    </row>
    <row r="29" spans="1:3">
      <c r="A29">
        <v>7</v>
      </c>
      <c r="B29">
        <v>2050</v>
      </c>
      <c r="C29">
        <v>41</v>
      </c>
    </row>
    <row r="30" spans="1:2">
      <c r="A30">
        <v>8</v>
      </c>
      <c r="B30" t="s">
        <v>53</v>
      </c>
    </row>
    <row r="31" spans="1:3">
      <c r="A31">
        <v>8</v>
      </c>
      <c r="B31">
        <v>13060</v>
      </c>
      <c r="C31">
        <v>11</v>
      </c>
    </row>
    <row r="32" spans="1:3">
      <c r="A32">
        <v>8</v>
      </c>
      <c r="B32">
        <v>403070</v>
      </c>
      <c r="C32">
        <v>26</v>
      </c>
    </row>
    <row r="33" spans="1:3">
      <c r="A33">
        <v>8</v>
      </c>
      <c r="B33">
        <v>3060</v>
      </c>
      <c r="C33">
        <v>41</v>
      </c>
    </row>
    <row r="34" spans="1:2">
      <c r="A34">
        <v>9</v>
      </c>
      <c r="B34" t="s">
        <v>54</v>
      </c>
    </row>
    <row r="35" spans="1:3">
      <c r="A35">
        <v>9</v>
      </c>
      <c r="B35">
        <v>11070</v>
      </c>
      <c r="C35">
        <v>11</v>
      </c>
    </row>
    <row r="36" spans="1:3">
      <c r="A36">
        <v>9</v>
      </c>
      <c r="B36">
        <v>401050</v>
      </c>
      <c r="C36">
        <v>26</v>
      </c>
    </row>
    <row r="37" spans="1:3">
      <c r="A37">
        <v>9</v>
      </c>
      <c r="B37">
        <v>1080</v>
      </c>
      <c r="C37">
        <v>41</v>
      </c>
    </row>
    <row r="38" spans="1:2">
      <c r="A38">
        <v>10</v>
      </c>
      <c r="B38" t="s">
        <v>55</v>
      </c>
    </row>
    <row r="39" spans="1:3">
      <c r="A39">
        <v>10</v>
      </c>
      <c r="B39">
        <v>12010</v>
      </c>
      <c r="C39">
        <v>11</v>
      </c>
    </row>
    <row r="40" spans="1:3">
      <c r="A40">
        <v>10</v>
      </c>
      <c r="B40">
        <v>402030</v>
      </c>
      <c r="C40">
        <v>26</v>
      </c>
    </row>
    <row r="41" spans="1:3">
      <c r="A41">
        <v>10</v>
      </c>
      <c r="B41">
        <v>2080</v>
      </c>
      <c r="C41">
        <v>41</v>
      </c>
    </row>
    <row r="42" spans="1:2">
      <c r="A42">
        <v>11</v>
      </c>
      <c r="B42" t="s">
        <v>56</v>
      </c>
    </row>
    <row r="43" spans="1:3">
      <c r="A43">
        <v>11</v>
      </c>
      <c r="B43">
        <v>13090</v>
      </c>
      <c r="C43">
        <v>11</v>
      </c>
    </row>
    <row r="44" spans="1:3">
      <c r="A44">
        <v>11</v>
      </c>
      <c r="B44">
        <v>403050</v>
      </c>
      <c r="C44">
        <v>26</v>
      </c>
    </row>
    <row r="45" spans="1:3">
      <c r="A45">
        <v>11</v>
      </c>
      <c r="B45">
        <v>3080</v>
      </c>
      <c r="C45">
        <v>41</v>
      </c>
    </row>
  </sheetData>
  <pageMargins left="0.75" right="0.75" top="1" bottom="1" header="0.5" footer="0.5"/>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D112"/>
  <sheetViews>
    <sheetView topLeftCell="A64" workbookViewId="0">
      <selection activeCell="A82" sqref="$A82:$XFD82"/>
    </sheetView>
  </sheetViews>
  <sheetFormatPr defaultColWidth="8.72727272727273" defaultRowHeight="13" outlineLevelCol="3"/>
  <cols>
    <col min="3" max="4" width="12.9090909090909" customWidth="1"/>
  </cols>
  <sheetData>
    <row r="1" spans="1:4">
      <c r="A1" t="s">
        <v>43</v>
      </c>
      <c r="B1" t="s">
        <v>44</v>
      </c>
      <c r="C1" t="s">
        <v>57</v>
      </c>
      <c r="D1" t="s">
        <v>58</v>
      </c>
    </row>
    <row r="2" spans="1:4">
      <c r="A2">
        <v>1</v>
      </c>
      <c r="B2">
        <v>1060</v>
      </c>
      <c r="C2">
        <v>0</v>
      </c>
      <c r="D2">
        <v>0</v>
      </c>
    </row>
    <row r="3" spans="1:4">
      <c r="A3">
        <v>1</v>
      </c>
      <c r="B3">
        <v>100120</v>
      </c>
      <c r="C3">
        <v>0</v>
      </c>
      <c r="D3">
        <v>0</v>
      </c>
    </row>
    <row r="4" spans="1:4">
      <c r="A4">
        <v>1</v>
      </c>
      <c r="B4">
        <v>1010</v>
      </c>
      <c r="C4">
        <v>0</v>
      </c>
      <c r="D4">
        <v>0</v>
      </c>
    </row>
    <row r="5" spans="1:4">
      <c r="A5">
        <v>1</v>
      </c>
      <c r="B5">
        <v>100110</v>
      </c>
      <c r="C5">
        <v>0</v>
      </c>
      <c r="D5">
        <v>0</v>
      </c>
    </row>
    <row r="6" spans="1:4">
      <c r="A6">
        <v>1</v>
      </c>
      <c r="B6">
        <v>0</v>
      </c>
      <c r="C6">
        <v>0</v>
      </c>
      <c r="D6">
        <v>0</v>
      </c>
    </row>
    <row r="7" spans="1:4">
      <c r="A7">
        <v>1</v>
      </c>
      <c r="B7">
        <v>0</v>
      </c>
      <c r="C7">
        <v>0</v>
      </c>
      <c r="D7">
        <v>0</v>
      </c>
    </row>
    <row r="8" spans="1:4">
      <c r="A8">
        <v>1</v>
      </c>
      <c r="B8">
        <v>0</v>
      </c>
      <c r="C8">
        <v>0</v>
      </c>
      <c r="D8">
        <v>0</v>
      </c>
    </row>
    <row r="9" spans="1:4">
      <c r="A9">
        <v>1</v>
      </c>
      <c r="B9">
        <v>0</v>
      </c>
      <c r="C9">
        <v>0</v>
      </c>
      <c r="D9">
        <v>0</v>
      </c>
    </row>
    <row r="10" spans="1:4">
      <c r="A10">
        <v>1</v>
      </c>
      <c r="B10">
        <v>0</v>
      </c>
      <c r="C10">
        <v>0</v>
      </c>
      <c r="D10">
        <v>0</v>
      </c>
    </row>
    <row r="11" spans="1:4">
      <c r="A11">
        <v>1</v>
      </c>
      <c r="B11">
        <v>0</v>
      </c>
      <c r="C11">
        <v>0</v>
      </c>
      <c r="D11">
        <v>0</v>
      </c>
    </row>
    <row r="12" spans="1:4">
      <c r="A12">
        <v>2</v>
      </c>
      <c r="B12">
        <v>2070</v>
      </c>
      <c r="C12">
        <v>0</v>
      </c>
      <c r="D12">
        <v>0</v>
      </c>
    </row>
    <row r="13" spans="1:4">
      <c r="A13">
        <v>2</v>
      </c>
      <c r="B13">
        <v>100220</v>
      </c>
      <c r="C13">
        <v>0</v>
      </c>
      <c r="D13">
        <v>0</v>
      </c>
    </row>
    <row r="14" spans="1:4">
      <c r="A14">
        <v>2</v>
      </c>
      <c r="B14">
        <v>2010</v>
      </c>
      <c r="C14">
        <v>0</v>
      </c>
      <c r="D14">
        <v>0</v>
      </c>
    </row>
    <row r="15" spans="1:4">
      <c r="A15">
        <v>2</v>
      </c>
      <c r="B15">
        <v>100210</v>
      </c>
      <c r="C15">
        <v>0</v>
      </c>
      <c r="D15">
        <v>0</v>
      </c>
    </row>
    <row r="16" spans="1:4">
      <c r="A16">
        <v>2</v>
      </c>
      <c r="B16">
        <v>0</v>
      </c>
      <c r="C16">
        <v>0</v>
      </c>
      <c r="D16">
        <v>0</v>
      </c>
    </row>
    <row r="17" spans="1:4">
      <c r="A17">
        <v>2</v>
      </c>
      <c r="B17">
        <v>0</v>
      </c>
      <c r="C17">
        <v>0</v>
      </c>
      <c r="D17">
        <v>0</v>
      </c>
    </row>
    <row r="18" spans="1:4">
      <c r="A18">
        <v>2</v>
      </c>
      <c r="B18">
        <v>0</v>
      </c>
      <c r="C18">
        <v>0</v>
      </c>
      <c r="D18">
        <v>0</v>
      </c>
    </row>
    <row r="19" spans="1:4">
      <c r="A19">
        <v>2</v>
      </c>
      <c r="B19">
        <v>0</v>
      </c>
      <c r="C19">
        <v>0</v>
      </c>
      <c r="D19">
        <v>0</v>
      </c>
    </row>
    <row r="20" spans="1:4">
      <c r="A20">
        <v>2</v>
      </c>
      <c r="B20">
        <v>0</v>
      </c>
      <c r="C20">
        <v>0</v>
      </c>
      <c r="D20">
        <v>0</v>
      </c>
    </row>
    <row r="21" spans="1:4">
      <c r="A21">
        <v>2</v>
      </c>
      <c r="B21">
        <v>0</v>
      </c>
      <c r="C21">
        <v>0</v>
      </c>
      <c r="D21">
        <v>0</v>
      </c>
    </row>
    <row r="22" spans="1:4">
      <c r="A22">
        <v>3</v>
      </c>
      <c r="B22">
        <v>3020</v>
      </c>
      <c r="C22">
        <v>0</v>
      </c>
      <c r="D22">
        <v>0</v>
      </c>
    </row>
    <row r="23" spans="1:4">
      <c r="A23">
        <v>3</v>
      </c>
      <c r="B23">
        <v>100320</v>
      </c>
      <c r="C23">
        <v>0</v>
      </c>
      <c r="D23">
        <v>0</v>
      </c>
    </row>
    <row r="24" spans="1:4">
      <c r="A24">
        <v>3</v>
      </c>
      <c r="B24">
        <v>3010</v>
      </c>
      <c r="C24">
        <v>0</v>
      </c>
      <c r="D24">
        <v>0</v>
      </c>
    </row>
    <row r="25" spans="1:4">
      <c r="A25">
        <v>3</v>
      </c>
      <c r="B25">
        <v>100310</v>
      </c>
      <c r="C25">
        <v>0</v>
      </c>
      <c r="D25">
        <v>0</v>
      </c>
    </row>
    <row r="26" spans="1:4">
      <c r="A26">
        <v>3</v>
      </c>
      <c r="B26">
        <v>0</v>
      </c>
      <c r="C26">
        <v>0</v>
      </c>
      <c r="D26">
        <v>0</v>
      </c>
    </row>
    <row r="27" spans="1:4">
      <c r="A27">
        <v>3</v>
      </c>
      <c r="B27">
        <v>0</v>
      </c>
      <c r="C27">
        <v>0</v>
      </c>
      <c r="D27">
        <v>0</v>
      </c>
    </row>
    <row r="28" spans="1:4">
      <c r="A28">
        <v>3</v>
      </c>
      <c r="B28">
        <v>0</v>
      </c>
      <c r="C28">
        <v>0</v>
      </c>
      <c r="D28">
        <v>0</v>
      </c>
    </row>
    <row r="29" spans="1:4">
      <c r="A29">
        <v>3</v>
      </c>
      <c r="B29">
        <v>0</v>
      </c>
      <c r="C29">
        <v>0</v>
      </c>
      <c r="D29">
        <v>0</v>
      </c>
    </row>
    <row r="30" spans="1:4">
      <c r="A30">
        <v>3</v>
      </c>
      <c r="B30">
        <v>0</v>
      </c>
      <c r="C30">
        <v>0</v>
      </c>
      <c r="D30">
        <v>0</v>
      </c>
    </row>
    <row r="31" spans="1:4">
      <c r="A31">
        <v>3</v>
      </c>
      <c r="B31">
        <v>0</v>
      </c>
      <c r="C31">
        <v>0</v>
      </c>
      <c r="D31">
        <v>0</v>
      </c>
    </row>
    <row r="32" spans="1:4">
      <c r="A32">
        <v>4</v>
      </c>
      <c r="B32">
        <v>100420</v>
      </c>
      <c r="C32">
        <v>0</v>
      </c>
      <c r="D32">
        <v>0</v>
      </c>
    </row>
    <row r="33" spans="1:4">
      <c r="A33">
        <v>4</v>
      </c>
      <c r="B33">
        <v>4030</v>
      </c>
      <c r="C33">
        <v>1033</v>
      </c>
      <c r="D33">
        <v>0</v>
      </c>
    </row>
    <row r="34" spans="1:4">
      <c r="A34">
        <v>4</v>
      </c>
      <c r="B34">
        <v>4010</v>
      </c>
      <c r="C34">
        <v>0</v>
      </c>
      <c r="D34">
        <v>0</v>
      </c>
    </row>
    <row r="35" spans="1:4">
      <c r="A35">
        <v>4</v>
      </c>
      <c r="B35">
        <v>100410</v>
      </c>
      <c r="C35">
        <v>0</v>
      </c>
      <c r="D35">
        <v>0</v>
      </c>
    </row>
    <row r="36" spans="1:4">
      <c r="A36">
        <v>4</v>
      </c>
      <c r="B36">
        <v>0</v>
      </c>
      <c r="C36">
        <v>0</v>
      </c>
      <c r="D36">
        <v>0</v>
      </c>
    </row>
    <row r="37" spans="1:4">
      <c r="A37">
        <v>4</v>
      </c>
      <c r="B37">
        <v>0</v>
      </c>
      <c r="C37">
        <v>0</v>
      </c>
      <c r="D37">
        <v>0</v>
      </c>
    </row>
    <row r="38" spans="1:4">
      <c r="A38">
        <v>4</v>
      </c>
      <c r="B38">
        <v>0</v>
      </c>
      <c r="C38">
        <v>0</v>
      </c>
      <c r="D38">
        <v>0</v>
      </c>
    </row>
    <row r="39" spans="1:4">
      <c r="A39">
        <v>4</v>
      </c>
      <c r="B39">
        <v>0</v>
      </c>
      <c r="C39">
        <v>0</v>
      </c>
      <c r="D39">
        <v>0</v>
      </c>
    </row>
    <row r="40" spans="1:4">
      <c r="A40">
        <v>4</v>
      </c>
      <c r="B40">
        <v>0</v>
      </c>
      <c r="C40">
        <v>0</v>
      </c>
      <c r="D40">
        <v>0</v>
      </c>
    </row>
    <row r="41" spans="1:4">
      <c r="A41">
        <v>4</v>
      </c>
      <c r="B41">
        <v>0</v>
      </c>
      <c r="C41">
        <v>0</v>
      </c>
      <c r="D41">
        <v>0</v>
      </c>
    </row>
    <row r="42" spans="1:4">
      <c r="A42">
        <v>5</v>
      </c>
      <c r="B42">
        <v>100520</v>
      </c>
      <c r="C42">
        <v>0</v>
      </c>
      <c r="D42">
        <v>0</v>
      </c>
    </row>
    <row r="43" spans="1:4">
      <c r="A43">
        <v>5</v>
      </c>
      <c r="B43">
        <v>5070</v>
      </c>
      <c r="C43">
        <v>0</v>
      </c>
      <c r="D43">
        <v>0</v>
      </c>
    </row>
    <row r="44" spans="1:4">
      <c r="A44">
        <v>5</v>
      </c>
      <c r="B44">
        <v>5010</v>
      </c>
      <c r="C44">
        <v>0</v>
      </c>
      <c r="D44">
        <v>0</v>
      </c>
    </row>
    <row r="45" spans="1:4">
      <c r="A45">
        <v>5</v>
      </c>
      <c r="B45">
        <v>100510</v>
      </c>
      <c r="C45">
        <v>0</v>
      </c>
      <c r="D45">
        <v>0</v>
      </c>
    </row>
    <row r="46" spans="1:4">
      <c r="A46">
        <v>5</v>
      </c>
      <c r="B46">
        <v>0</v>
      </c>
      <c r="C46">
        <v>0</v>
      </c>
      <c r="D46">
        <v>0</v>
      </c>
    </row>
    <row r="47" spans="1:4">
      <c r="A47">
        <v>5</v>
      </c>
      <c r="B47">
        <v>0</v>
      </c>
      <c r="C47">
        <v>0</v>
      </c>
      <c r="D47">
        <v>0</v>
      </c>
    </row>
    <row r="48" spans="1:4">
      <c r="A48">
        <v>5</v>
      </c>
      <c r="B48">
        <v>0</v>
      </c>
      <c r="C48">
        <v>0</v>
      </c>
      <c r="D48">
        <v>0</v>
      </c>
    </row>
    <row r="49" spans="1:4">
      <c r="A49">
        <v>5</v>
      </c>
      <c r="B49">
        <v>0</v>
      </c>
      <c r="C49">
        <v>0</v>
      </c>
      <c r="D49">
        <v>0</v>
      </c>
    </row>
    <row r="50" spans="1:4">
      <c r="A50">
        <v>5</v>
      </c>
      <c r="B50">
        <v>0</v>
      </c>
      <c r="C50">
        <v>0</v>
      </c>
      <c r="D50">
        <v>0</v>
      </c>
    </row>
    <row r="51" spans="1:4">
      <c r="A51">
        <v>5</v>
      </c>
      <c r="B51">
        <v>0</v>
      </c>
      <c r="C51">
        <v>0</v>
      </c>
      <c r="D51">
        <v>0</v>
      </c>
    </row>
    <row r="52" spans="1:4">
      <c r="A52">
        <v>6</v>
      </c>
      <c r="B52">
        <v>1030</v>
      </c>
      <c r="C52">
        <v>0</v>
      </c>
      <c r="D52">
        <v>0</v>
      </c>
    </row>
    <row r="53" spans="1:4">
      <c r="A53">
        <v>6</v>
      </c>
      <c r="B53">
        <v>100620</v>
      </c>
      <c r="C53">
        <v>0</v>
      </c>
      <c r="D53">
        <v>0</v>
      </c>
    </row>
    <row r="54" spans="1:4">
      <c r="A54">
        <v>6</v>
      </c>
      <c r="B54">
        <v>1010</v>
      </c>
      <c r="C54">
        <v>0</v>
      </c>
      <c r="D54">
        <v>0</v>
      </c>
    </row>
    <row r="55" spans="1:4">
      <c r="A55">
        <v>6</v>
      </c>
      <c r="B55">
        <v>100610</v>
      </c>
      <c r="C55">
        <v>0</v>
      </c>
      <c r="D55">
        <v>0</v>
      </c>
    </row>
    <row r="56" spans="1:4">
      <c r="A56">
        <v>6</v>
      </c>
      <c r="B56">
        <v>0</v>
      </c>
      <c r="C56">
        <v>0</v>
      </c>
      <c r="D56">
        <v>0</v>
      </c>
    </row>
    <row r="57" spans="1:4">
      <c r="A57">
        <v>6</v>
      </c>
      <c r="B57">
        <v>0</v>
      </c>
      <c r="C57">
        <v>0</v>
      </c>
      <c r="D57">
        <v>0</v>
      </c>
    </row>
    <row r="58" spans="1:4">
      <c r="A58">
        <v>6</v>
      </c>
      <c r="B58">
        <v>0</v>
      </c>
      <c r="C58">
        <v>0</v>
      </c>
      <c r="D58">
        <v>0</v>
      </c>
    </row>
    <row r="59" spans="1:4">
      <c r="A59">
        <v>6</v>
      </c>
      <c r="B59">
        <v>0</v>
      </c>
      <c r="C59">
        <v>0</v>
      </c>
      <c r="D59">
        <v>0</v>
      </c>
    </row>
    <row r="60" spans="1:4">
      <c r="A60">
        <v>6</v>
      </c>
      <c r="B60">
        <v>0</v>
      </c>
      <c r="C60">
        <v>0</v>
      </c>
      <c r="D60">
        <v>0</v>
      </c>
    </row>
    <row r="61" spans="1:4">
      <c r="A61">
        <v>6</v>
      </c>
      <c r="B61">
        <v>0</v>
      </c>
      <c r="C61">
        <v>0</v>
      </c>
      <c r="D61">
        <v>0</v>
      </c>
    </row>
    <row r="62" spans="1:4">
      <c r="A62">
        <v>7</v>
      </c>
      <c r="B62">
        <v>2040</v>
      </c>
      <c r="C62">
        <v>0</v>
      </c>
      <c r="D62">
        <v>0</v>
      </c>
    </row>
    <row r="63" spans="1:4">
      <c r="A63">
        <v>7</v>
      </c>
      <c r="B63">
        <v>100720</v>
      </c>
      <c r="C63">
        <v>0</v>
      </c>
      <c r="D63">
        <v>0</v>
      </c>
    </row>
    <row r="64" spans="1:4">
      <c r="A64">
        <v>7</v>
      </c>
      <c r="B64">
        <v>2010</v>
      </c>
      <c r="C64">
        <v>0</v>
      </c>
      <c r="D64">
        <v>0</v>
      </c>
    </row>
    <row r="65" spans="1:4">
      <c r="A65">
        <v>7</v>
      </c>
      <c r="B65">
        <v>100710</v>
      </c>
      <c r="C65">
        <v>0</v>
      </c>
      <c r="D65">
        <v>0</v>
      </c>
    </row>
    <row r="66" spans="1:4">
      <c r="A66">
        <v>7</v>
      </c>
      <c r="B66">
        <v>0</v>
      </c>
      <c r="C66">
        <v>0</v>
      </c>
      <c r="D66">
        <v>0</v>
      </c>
    </row>
    <row r="67" spans="1:4">
      <c r="A67">
        <v>7</v>
      </c>
      <c r="B67">
        <v>0</v>
      </c>
      <c r="C67">
        <v>0</v>
      </c>
      <c r="D67">
        <v>0</v>
      </c>
    </row>
    <row r="68" spans="1:4">
      <c r="A68">
        <v>7</v>
      </c>
      <c r="B68">
        <v>0</v>
      </c>
      <c r="C68">
        <v>0</v>
      </c>
      <c r="D68">
        <v>0</v>
      </c>
    </row>
    <row r="69" spans="1:4">
      <c r="A69">
        <v>7</v>
      </c>
      <c r="B69">
        <v>0</v>
      </c>
      <c r="C69">
        <v>0</v>
      </c>
      <c r="D69">
        <v>0</v>
      </c>
    </row>
    <row r="70" spans="1:4">
      <c r="A70">
        <v>7</v>
      </c>
      <c r="B70">
        <v>0</v>
      </c>
      <c r="C70">
        <v>0</v>
      </c>
      <c r="D70">
        <v>0</v>
      </c>
    </row>
    <row r="71" spans="1:4">
      <c r="A71">
        <v>7</v>
      </c>
      <c r="B71">
        <v>0</v>
      </c>
      <c r="C71">
        <v>0</v>
      </c>
      <c r="D71">
        <v>0</v>
      </c>
    </row>
    <row r="72" spans="1:4">
      <c r="A72">
        <v>8</v>
      </c>
      <c r="B72">
        <v>100820</v>
      </c>
      <c r="C72">
        <v>0</v>
      </c>
      <c r="D72">
        <v>0</v>
      </c>
    </row>
    <row r="73" spans="1:4">
      <c r="A73">
        <v>8</v>
      </c>
      <c r="B73">
        <v>3070</v>
      </c>
      <c r="C73">
        <v>14114</v>
      </c>
      <c r="D73">
        <v>9120</v>
      </c>
    </row>
    <row r="74" spans="1:4">
      <c r="A74">
        <v>8</v>
      </c>
      <c r="B74">
        <v>3010</v>
      </c>
      <c r="C74">
        <v>0</v>
      </c>
      <c r="D74">
        <v>0</v>
      </c>
    </row>
    <row r="75" spans="1:4">
      <c r="A75">
        <v>8</v>
      </c>
      <c r="B75">
        <v>100810</v>
      </c>
      <c r="C75">
        <v>0</v>
      </c>
      <c r="D75">
        <v>0</v>
      </c>
    </row>
    <row r="76" spans="1:4">
      <c r="A76">
        <v>8</v>
      </c>
      <c r="B76">
        <v>0</v>
      </c>
      <c r="C76">
        <v>0</v>
      </c>
      <c r="D76">
        <v>0</v>
      </c>
    </row>
    <row r="77" spans="1:4">
      <c r="A77">
        <v>8</v>
      </c>
      <c r="B77">
        <v>0</v>
      </c>
      <c r="C77">
        <v>0</v>
      </c>
      <c r="D77">
        <v>0</v>
      </c>
    </row>
    <row r="78" spans="1:4">
      <c r="A78">
        <v>8</v>
      </c>
      <c r="B78">
        <v>0</v>
      </c>
      <c r="C78">
        <v>0</v>
      </c>
      <c r="D78">
        <v>0</v>
      </c>
    </row>
    <row r="79" spans="1:4">
      <c r="A79">
        <v>8</v>
      </c>
      <c r="B79">
        <v>0</v>
      </c>
      <c r="C79">
        <v>0</v>
      </c>
      <c r="D79">
        <v>0</v>
      </c>
    </row>
    <row r="80" spans="1:4">
      <c r="A80">
        <v>8</v>
      </c>
      <c r="B80">
        <v>0</v>
      </c>
      <c r="C80">
        <v>0</v>
      </c>
      <c r="D80">
        <v>0</v>
      </c>
    </row>
    <row r="81" spans="1:4">
      <c r="A81">
        <v>8</v>
      </c>
      <c r="B81">
        <v>0</v>
      </c>
      <c r="C81">
        <v>0</v>
      </c>
      <c r="D81">
        <v>0</v>
      </c>
    </row>
    <row r="82" spans="1:4">
      <c r="A82">
        <v>9</v>
      </c>
      <c r="B82">
        <v>100920</v>
      </c>
      <c r="C82">
        <v>0</v>
      </c>
      <c r="D82">
        <v>0</v>
      </c>
    </row>
    <row r="83" spans="1:4">
      <c r="A83">
        <v>9</v>
      </c>
      <c r="B83">
        <v>1050</v>
      </c>
      <c r="C83">
        <v>0</v>
      </c>
      <c r="D83">
        <v>0</v>
      </c>
    </row>
    <row r="84" spans="1:4">
      <c r="A84">
        <v>9</v>
      </c>
      <c r="B84">
        <v>1010</v>
      </c>
      <c r="C84">
        <v>0</v>
      </c>
      <c r="D84">
        <v>0</v>
      </c>
    </row>
    <row r="85" spans="1:4">
      <c r="A85">
        <v>9</v>
      </c>
      <c r="B85">
        <v>100910</v>
      </c>
      <c r="C85">
        <v>0</v>
      </c>
      <c r="D85">
        <v>0</v>
      </c>
    </row>
    <row r="86" spans="1:4">
      <c r="A86">
        <v>9</v>
      </c>
      <c r="B86">
        <v>0</v>
      </c>
      <c r="C86">
        <v>0</v>
      </c>
      <c r="D86">
        <v>0</v>
      </c>
    </row>
    <row r="87" spans="1:4">
      <c r="A87">
        <v>9</v>
      </c>
      <c r="B87">
        <v>0</v>
      </c>
      <c r="C87">
        <v>0</v>
      </c>
      <c r="D87">
        <v>0</v>
      </c>
    </row>
    <row r="88" spans="1:4">
      <c r="A88">
        <v>9</v>
      </c>
      <c r="B88">
        <v>0</v>
      </c>
      <c r="C88">
        <v>0</v>
      </c>
      <c r="D88">
        <v>0</v>
      </c>
    </row>
    <row r="89" spans="1:4">
      <c r="A89">
        <v>9</v>
      </c>
      <c r="B89">
        <v>0</v>
      </c>
      <c r="C89">
        <v>0</v>
      </c>
      <c r="D89">
        <v>0</v>
      </c>
    </row>
    <row r="90" spans="1:4">
      <c r="A90">
        <v>9</v>
      </c>
      <c r="B90">
        <v>0</v>
      </c>
      <c r="C90">
        <v>0</v>
      </c>
      <c r="D90">
        <v>0</v>
      </c>
    </row>
    <row r="91" spans="1:4">
      <c r="A91">
        <v>9</v>
      </c>
      <c r="B91">
        <v>0</v>
      </c>
      <c r="C91">
        <v>0</v>
      </c>
      <c r="D91">
        <v>0</v>
      </c>
    </row>
    <row r="92" spans="1:4">
      <c r="A92">
        <v>10</v>
      </c>
      <c r="B92">
        <v>2030</v>
      </c>
      <c r="C92">
        <v>0</v>
      </c>
      <c r="D92">
        <v>0</v>
      </c>
    </row>
    <row r="93" spans="1:4">
      <c r="A93">
        <v>10</v>
      </c>
      <c r="B93">
        <v>101020</v>
      </c>
      <c r="C93">
        <v>0</v>
      </c>
      <c r="D93">
        <v>0</v>
      </c>
    </row>
    <row r="94" spans="1:4">
      <c r="A94">
        <v>10</v>
      </c>
      <c r="B94">
        <v>2010</v>
      </c>
      <c r="C94">
        <v>0</v>
      </c>
      <c r="D94">
        <v>0</v>
      </c>
    </row>
    <row r="95" spans="1:4">
      <c r="A95">
        <v>10</v>
      </c>
      <c r="B95">
        <v>101010</v>
      </c>
      <c r="C95">
        <v>0</v>
      </c>
      <c r="D95">
        <v>0</v>
      </c>
    </row>
    <row r="96" spans="1:4">
      <c r="A96">
        <v>10</v>
      </c>
      <c r="B96">
        <v>0</v>
      </c>
      <c r="C96">
        <v>0</v>
      </c>
      <c r="D96">
        <v>0</v>
      </c>
    </row>
    <row r="97" spans="1:4">
      <c r="A97">
        <v>10</v>
      </c>
      <c r="B97">
        <v>0</v>
      </c>
      <c r="C97">
        <v>0</v>
      </c>
      <c r="D97">
        <v>0</v>
      </c>
    </row>
    <row r="98" spans="1:4">
      <c r="A98">
        <v>10</v>
      </c>
      <c r="B98">
        <v>0</v>
      </c>
      <c r="C98">
        <v>0</v>
      </c>
      <c r="D98">
        <v>0</v>
      </c>
    </row>
    <row r="99" spans="1:4">
      <c r="A99">
        <v>10</v>
      </c>
      <c r="B99">
        <v>0</v>
      </c>
      <c r="C99">
        <v>0</v>
      </c>
      <c r="D99">
        <v>0</v>
      </c>
    </row>
    <row r="100" spans="1:4">
      <c r="A100">
        <v>10</v>
      </c>
      <c r="B100">
        <v>0</v>
      </c>
      <c r="C100">
        <v>0</v>
      </c>
      <c r="D100">
        <v>0</v>
      </c>
    </row>
    <row r="101" spans="1:4">
      <c r="A101">
        <v>10</v>
      </c>
      <c r="B101">
        <v>0</v>
      </c>
      <c r="C101">
        <v>0</v>
      </c>
      <c r="D101">
        <v>0</v>
      </c>
    </row>
    <row r="102" spans="1:4">
      <c r="A102">
        <v>11</v>
      </c>
      <c r="B102">
        <v>3050</v>
      </c>
      <c r="C102">
        <v>6712</v>
      </c>
      <c r="D102">
        <v>0</v>
      </c>
    </row>
    <row r="103" spans="1:4">
      <c r="A103">
        <v>11</v>
      </c>
      <c r="B103">
        <v>101120</v>
      </c>
      <c r="C103">
        <v>0</v>
      </c>
      <c r="D103">
        <v>0</v>
      </c>
    </row>
    <row r="104" spans="1:4">
      <c r="A104">
        <v>11</v>
      </c>
      <c r="B104">
        <v>3010</v>
      </c>
      <c r="C104">
        <v>0</v>
      </c>
      <c r="D104">
        <v>0</v>
      </c>
    </row>
    <row r="105" spans="1:4">
      <c r="A105">
        <v>11</v>
      </c>
      <c r="B105">
        <v>101110</v>
      </c>
      <c r="C105">
        <v>0</v>
      </c>
      <c r="D105">
        <v>0</v>
      </c>
    </row>
    <row r="106" spans="1:4">
      <c r="A106">
        <v>11</v>
      </c>
      <c r="B106">
        <v>0</v>
      </c>
      <c r="C106">
        <v>0</v>
      </c>
      <c r="D106">
        <v>0</v>
      </c>
    </row>
    <row r="107" spans="1:4">
      <c r="A107">
        <v>11</v>
      </c>
      <c r="B107">
        <v>0</v>
      </c>
      <c r="C107">
        <v>0</v>
      </c>
      <c r="D107">
        <v>0</v>
      </c>
    </row>
    <row r="108" spans="1:4">
      <c r="A108">
        <v>11</v>
      </c>
      <c r="B108">
        <v>0</v>
      </c>
      <c r="C108">
        <v>0</v>
      </c>
      <c r="D108">
        <v>0</v>
      </c>
    </row>
    <row r="109" spans="1:4">
      <c r="A109">
        <v>11</v>
      </c>
      <c r="B109">
        <v>0</v>
      </c>
      <c r="C109">
        <v>0</v>
      </c>
      <c r="D109">
        <v>0</v>
      </c>
    </row>
    <row r="110" spans="1:4">
      <c r="A110">
        <v>11</v>
      </c>
      <c r="B110">
        <v>0</v>
      </c>
      <c r="C110">
        <v>0</v>
      </c>
      <c r="D110">
        <v>0</v>
      </c>
    </row>
    <row r="111" spans="1:4">
      <c r="A111">
        <v>11</v>
      </c>
      <c r="B111">
        <v>0</v>
      </c>
      <c r="C111">
        <v>0</v>
      </c>
      <c r="D111">
        <v>0</v>
      </c>
    </row>
    <row r="112" spans="1:4">
      <c r="A112">
        <v>11</v>
      </c>
      <c r="B112">
        <v>0</v>
      </c>
      <c r="C112">
        <v>0</v>
      </c>
      <c r="D112">
        <v>0</v>
      </c>
    </row>
  </sheetData>
  <pageMargins left="0.75" right="0.75" top="1" bottom="1" header="0.5" footer="0.5"/>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D12"/>
  <sheetViews>
    <sheetView topLeftCell="A6" workbookViewId="0">
      <selection activeCell="D12" sqref="D12"/>
    </sheetView>
  </sheetViews>
  <sheetFormatPr defaultColWidth="8.72727272727273" defaultRowHeight="13" outlineLevelCol="3"/>
  <cols>
    <col min="3" max="3" width="20.5454545454545" customWidth="1"/>
    <col min="4" max="4" width="45.1818181818182" customWidth="1"/>
  </cols>
  <sheetData>
    <row r="1" spans="1:4">
      <c r="A1" t="s">
        <v>0</v>
      </c>
      <c r="B1" t="s">
        <v>59</v>
      </c>
      <c r="C1" t="s">
        <v>60</v>
      </c>
      <c r="D1" t="s">
        <v>61</v>
      </c>
    </row>
    <row r="2" ht="39" spans="1:4">
      <c r="A2">
        <v>1</v>
      </c>
      <c r="B2" t="s">
        <v>62</v>
      </c>
      <c r="C2" t="s">
        <v>63</v>
      </c>
      <c r="D2" s="1" t="s">
        <v>64</v>
      </c>
    </row>
    <row r="3" ht="39" spans="1:4">
      <c r="A3">
        <v>2</v>
      </c>
      <c r="B3" t="s">
        <v>65</v>
      </c>
      <c r="C3" t="s">
        <v>66</v>
      </c>
      <c r="D3" s="1" t="s">
        <v>67</v>
      </c>
    </row>
    <row r="4" ht="39" spans="1:4">
      <c r="A4">
        <v>3</v>
      </c>
      <c r="B4" t="s">
        <v>68</v>
      </c>
      <c r="C4" t="s">
        <v>69</v>
      </c>
      <c r="D4" s="1" t="s">
        <v>70</v>
      </c>
    </row>
    <row r="5" ht="39" spans="1:4">
      <c r="A5">
        <v>4</v>
      </c>
      <c r="B5" t="s">
        <v>71</v>
      </c>
      <c r="C5" t="s">
        <v>72</v>
      </c>
      <c r="D5" s="1" t="s">
        <v>73</v>
      </c>
    </row>
    <row r="6" ht="52" spans="1:4">
      <c r="A6">
        <v>5</v>
      </c>
      <c r="B6" t="s">
        <v>74</v>
      </c>
      <c r="C6" t="s">
        <v>75</v>
      </c>
      <c r="D6" s="1" t="s">
        <v>76</v>
      </c>
    </row>
    <row r="7" ht="39" spans="1:4">
      <c r="A7">
        <v>6</v>
      </c>
      <c r="B7" t="s">
        <v>77</v>
      </c>
      <c r="C7" t="s">
        <v>78</v>
      </c>
      <c r="D7" s="1" t="s">
        <v>79</v>
      </c>
    </row>
    <row r="8" ht="52" spans="1:4">
      <c r="A8">
        <v>7</v>
      </c>
      <c r="B8" t="s">
        <v>80</v>
      </c>
      <c r="C8" t="s">
        <v>81</v>
      </c>
      <c r="D8" s="1" t="s">
        <v>82</v>
      </c>
    </row>
    <row r="9" ht="52" spans="1:4">
      <c r="A9">
        <v>8</v>
      </c>
      <c r="B9" t="s">
        <v>83</v>
      </c>
      <c r="C9" t="s">
        <v>84</v>
      </c>
      <c r="D9" s="1" t="s">
        <v>85</v>
      </c>
    </row>
    <row r="10" ht="39" spans="1:4">
      <c r="A10">
        <v>9</v>
      </c>
      <c r="B10" t="s">
        <v>86</v>
      </c>
      <c r="C10" t="s">
        <v>87</v>
      </c>
      <c r="D10" s="1" t="s">
        <v>88</v>
      </c>
    </row>
    <row r="11" ht="39" spans="1:4">
      <c r="A11">
        <v>10</v>
      </c>
      <c r="B11" t="s">
        <v>89</v>
      </c>
      <c r="C11" t="s">
        <v>90</v>
      </c>
      <c r="D11" s="1" t="s">
        <v>91</v>
      </c>
    </row>
    <row r="12" ht="52" spans="1:4">
      <c r="A12">
        <v>11</v>
      </c>
      <c r="B12" t="s">
        <v>92</v>
      </c>
      <c r="C12" t="s">
        <v>93</v>
      </c>
      <c r="D12" s="1" t="s">
        <v>94</v>
      </c>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4</vt:i4>
      </vt:variant>
    </vt:vector>
  </HeadingPairs>
  <TitlesOfParts>
    <vt:vector size="4" baseType="lpstr">
      <vt:lpstr>Actors</vt:lpstr>
      <vt:lpstr>Learning</vt:lpstr>
      <vt:lpstr>SkillTrigger</vt:lpstr>
      <vt:lpstr>TextData</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USER</cp:lastModifiedBy>
  <dcterms:created xsi:type="dcterms:W3CDTF">2022-04-16T05:08:00Z</dcterms:created>
  <dcterms:modified xsi:type="dcterms:W3CDTF">2024-10-26T06:05:53Z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1041-11.2.0.10624</vt:lpwstr>
  </property>
  <property fmtid="{D5CDD505-2E9C-101B-9397-08002B2CF9AE}" pid="3" name="ICV">
    <vt:lpwstr>3C9C8097EF6543B1B74B2E3BDD376611</vt:lpwstr>
  </property>
</Properties>
</file>