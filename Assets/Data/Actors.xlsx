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<sst xmlns="http://schemas.openxmlformats.org/spreadsheetml/2006/main" count="75" uniqueCount="71">
  <si>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</si>
  <si>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</si>
  <si>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</si>
  <si>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</si>
  <si>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</si>
  <si>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</si>
  <si>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</si>
  <si>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</si>
  <si>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</si>
  <si>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</si>
  <si>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</si>
  <si>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</si>
  <si>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</si>
  <si>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</si>
  <si>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</si>
  <si>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</si>
  <si>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</si>
  <si>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</si>
  <si>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</si>
  <si>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</si>
  <si>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</si>
  <si>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</si>
  <si>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</si>
  <si>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Element6</t>
  </si>
  <si>
    <t>X</t>
  </si>
  <si>
    <t>Y</t>
  </si>
  <si>
    <t>Scale</t>
  </si>
  <si>
    <t>AwakenX</t>
  </si>
  <si>
    <t>AwakenY</t>
  </si>
  <si>
    <t>AwakenScale</t>
  </si>
  <si>
    <t>Kind1</t>
  </si>
  <si>
    <t>Kind2</t>
  </si>
  <si>
    <t>Kind3</t>
  </si>
  <si>
    <t>0001</t>
  </si>
  <si>
    <t>0002</t>
  </si>
  <si>
    <t>0003</t>
  </si>
  <si>
    <t>0004</t>
  </si>
  <si>
    <t>0005</t>
  </si>
  <si>
    <t>0006</t>
  </si>
  <si>
    <t>ActorId</t>
  </si>
  <si>
    <t>SkillId</t>
  </si>
  <si>
    <t>Level</t>
  </si>
  <si>
    <t>11,21,31,1010,1060,100110,100120</t>
  </si>
  <si>
    <t>11,21,31,2010,2070,100210,100220</t>
  </si>
  <si>
    <t>11,21,31,3010,3110,100310,100320</t>
  </si>
  <si>
    <t>11,21,31,4010,4030,100410,100420</t>
  </si>
  <si>
    <t>11,21,31,5010,5070,100510,100520</t>
  </si>
  <si>
    <t>11,21,31,1010,1030,100610,100620</t>
  </si>
  <si>
    <t>TriggerType1</t>
  </si>
  <si>
    <t>TriggerType2</t>
  </si>
  <si>
    <t>Text</t>
  </si>
  <si>
    <t>SubName</t>
  </si>
  <si>
    <t>Feature</t>
  </si>
  <si>
    <t>エリシャ</t>
  </si>
  <si>
    <t>Alisha</t>
  </si>
  <si>
    <t>高い攻撃性能を持つアタッカー。
全体的にステータスが高く、赤属性魔法を習得することでさらに攻撃性能を伸ばすことができる。</t>
  </si>
  <si>
    <t>ソラ</t>
  </si>
  <si>
    <t>Sora</t>
  </si>
  <si>
    <t>回避率を上げて攻撃を避けるアタッカー。
打たれ弱いがSPDが高く、回避率をアップする雷属性魔法を習得しやすい。</t>
  </si>
  <si>
    <t>リジェ</t>
  </si>
  <si>
    <t>Ligier</t>
  </si>
  <si>
    <t>相手の攻撃を跳ね返すディフェンダー。
受けた攻撃ダメージの一部を跳ね返す「カウンターオーラ」を使うことができる。</t>
  </si>
  <si>
    <t>ミシェル</t>
  </si>
  <si>
    <t>Michelle</t>
  </si>
  <si>
    <t>回復に特化したヒーラー。
全体的にステータスが低いが、味方のHpを回復する「ヒーリング」を使うことができる。</t>
  </si>
  <si>
    <t>シイナ</t>
  </si>
  <si>
    <t>Shiina</t>
  </si>
  <si>
    <t>相手の攻撃性能を下げるジャマー。
「シェイディークラウド」で味方が受けるダメージを抑えたり、「毒」でスリップダメージを与える魔法を使うことができる。</t>
  </si>
  <si>
    <t>ルネ</t>
  </si>
  <si>
    <t>Renee</t>
  </si>
  <si>
    <t>味方のCTを短縮することができるサポーター。
CT（魔法を再使用するまでのターン数）を短縮しパーティ全体の補助をすることができる。</t>
  </si>
</sst>
</file>

<file path=xl/styles.xml><?xml version="1.0" encoding="utf-8"?>
<styleSheet xmlns="http://schemas.openxmlformats.org/spreadsheetml/2006/main">
  <numFmts count="4">
    <numFmt numFmtId="43" formatCode="_ * #,##0.00_ ;_ * \-#,##0.00_ ;_ * &quot;-&quot;??_ ;_ @_ "/>
    <numFmt numFmtId="176" formatCode="_-&quot;\&quot;* #,##0.00_-\ ;\-&quot;\&quot;* #,##0.00_-\ ;_-&quot;\&quot;* &quot;-&quot;??_-\ ;_-@_-"/>
    <numFmt numFmtId="177" formatCode="_-&quot;\&quot;* #,##0_-\ ;\-&quot;\&quot;* #,##0_-\ ;_-&quot;\&quot;* &quot;-&quot;??_-\ ;_-@_-"/>
    <numFmt numFmtId="178" formatCode="_ * #,##0_ ;_ * \-#,##0_ ;_ * &quot;-&quot;??_ ;_ @_ "/>
  </numFmts>
  <fonts count="20">
    <font>
      <sz val="11"/>
      <color theme="1"/>
      <name val="ＭＳ Ｐゴシック"/>
      <charset val="134"/>
      <scheme val="minor"/>
    </font>
    <font>
      <sz val="11"/>
      <color theme="0"/>
      <name val="ＭＳ Ｐゴシック"/>
      <charset val="0"/>
      <scheme val="minor"/>
    </font>
    <font>
      <b/>
      <sz val="18"/>
      <color theme="3"/>
      <name val="ＭＳ Ｐゴシック"/>
      <charset val="134"/>
      <scheme val="minor"/>
    </font>
    <font>
      <b/>
      <sz val="11"/>
      <color rgb="FFFA7D00"/>
      <name val="ＭＳ Ｐゴシック"/>
      <charset val="0"/>
      <scheme val="minor"/>
    </font>
    <font>
      <sz val="11"/>
      <color rgb="FFFA7D00"/>
      <name val="ＭＳ Ｐゴシック"/>
      <charset val="0"/>
      <scheme val="minor"/>
    </font>
    <font>
      <sz val="11"/>
      <color rgb="FFFF0000"/>
      <name val="ＭＳ Ｐゴシック"/>
      <charset val="0"/>
      <scheme val="minor"/>
    </font>
    <font>
      <b/>
      <sz val="11"/>
      <color rgb="FFFFFFFF"/>
      <name val="ＭＳ Ｐゴシック"/>
      <charset val="0"/>
      <scheme val="minor"/>
    </font>
    <font>
      <sz val="11"/>
      <color rgb="FF3F3F76"/>
      <name val="ＭＳ Ｐゴシック"/>
      <charset val="0"/>
      <scheme val="minor"/>
    </font>
    <font>
      <i/>
      <sz val="11"/>
      <color rgb="FF7F7F7F"/>
      <name val="ＭＳ Ｐゴシック"/>
      <charset val="0"/>
      <scheme val="minor"/>
    </font>
    <font>
      <u/>
      <sz val="11"/>
      <color rgb="FF800080"/>
      <name val="ＭＳ Ｐゴシック"/>
      <charset val="0"/>
      <scheme val="minor"/>
    </font>
    <font>
      <sz val="11"/>
      <color theme="1"/>
      <name val="ＭＳ Ｐゴシック"/>
      <charset val="0"/>
      <scheme val="minor"/>
    </font>
    <font>
      <b/>
      <sz val="11"/>
      <color theme="3"/>
      <name val="ＭＳ Ｐゴシック"/>
      <charset val="134"/>
      <scheme val="minor"/>
    </font>
    <font>
      <b/>
      <sz val="15"/>
      <color theme="3"/>
      <name val="ＭＳ Ｐゴシック"/>
      <charset val="134"/>
      <scheme val="minor"/>
    </font>
    <font>
      <sz val="11"/>
      <color rgb="FF006100"/>
      <name val="ＭＳ Ｐゴシック"/>
      <charset val="0"/>
      <scheme val="minor"/>
    </font>
    <font>
      <u/>
      <sz val="11"/>
      <color rgb="FF0000FF"/>
      <name val="ＭＳ Ｐゴシック"/>
      <charset val="0"/>
      <scheme val="minor"/>
    </font>
    <font>
      <sz val="11"/>
      <color rgb="FF9C6500"/>
      <name val="ＭＳ Ｐゴシック"/>
      <charset val="0"/>
      <scheme val="minor"/>
    </font>
    <font>
      <b/>
      <sz val="11"/>
      <color rgb="FF3F3F3F"/>
      <name val="ＭＳ Ｐゴシック"/>
      <charset val="0"/>
      <scheme val="minor"/>
    </font>
    <font>
      <sz val="11"/>
      <color rgb="FF9C0006"/>
      <name val="ＭＳ Ｐゴシック"/>
      <charset val="0"/>
      <scheme val="minor"/>
    </font>
    <font>
      <b/>
      <sz val="11"/>
      <color theme="1"/>
      <name val="ＭＳ Ｐゴシック"/>
      <charset val="0"/>
      <scheme val="minor"/>
    </font>
    <font>
      <b/>
      <sz val="13"/>
      <color theme="3"/>
      <name val="ＭＳ Ｐゴシック"/>
      <charset val="134"/>
      <scheme val="minor"/>
    </font>
  </fonts>
  <fills count="33">
    <fill>
      <patternFill patternType="none"/>
    </fill>
    <fill>
      <patternFill patternType="gray125"/>
    </fill>
    <fill>
      <patternFill patternType="solid">
        <fgColor theme="7"/>
        <bgColor indexed="64"/>
      </patternFill>
    </fill>
    <fill>
      <patternFill patternType="solid">
        <fgColor rgb="FFF2F2F2"/>
        <bgColor indexed="64"/>
      </patternFill>
    </fill>
    <fill>
      <patternFill patternType="solid">
        <fgColor rgb="FFA5A5A5"/>
        <bgColor indexed="64"/>
      </patternFill>
    </fill>
    <fill>
      <patternFill patternType="solid">
        <fgColor rgb="FFFFFFCC"/>
        <bgColor indexed="64"/>
      </patternFill>
    </fill>
    <fill>
      <patternFill patternType="solid">
        <fgColor rgb="FFFFCC99"/>
        <bgColor indexed="64"/>
      </patternFill>
    </fill>
    <fill>
      <patternFill patternType="solid">
        <fgColor theme="8" tint="0.399975585192419"/>
        <bgColor indexed="64"/>
      </patternFill>
    </fill>
    <fill>
      <patternFill patternType="solid">
        <fgColor theme="8" tint="0.599993896298105"/>
        <bgColor indexed="64"/>
      </patternFill>
    </fill>
    <fill>
      <patternFill patternType="solid">
        <fgColor rgb="FFC6EFCE"/>
        <bgColor indexed="64"/>
      </patternFill>
    </fill>
    <fill>
      <patternFill patternType="solid">
        <fgColor theme="6" tint="0.599993896298105"/>
        <bgColor indexed="64"/>
      </patternFill>
    </fill>
    <fill>
      <patternFill patternType="solid">
        <fgColor theme="5"/>
        <bgColor indexed="64"/>
      </patternFill>
    </fill>
    <fill>
      <patternFill patternType="solid">
        <fgColor theme="9" tint="0.799981688894314"/>
        <bgColor indexed="64"/>
      </patternFill>
    </fill>
    <fill>
      <patternFill patternType="solid">
        <fgColor theme="7" tint="0.799981688894314"/>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theme="7" tint="0.399975585192419"/>
        <bgColor indexed="64"/>
      </patternFill>
    </fill>
    <fill>
      <patternFill patternType="solid">
        <fgColor rgb="FFFFC7CE"/>
        <bgColor indexed="64"/>
      </patternFill>
    </fill>
    <fill>
      <patternFill patternType="solid">
        <fgColor theme="6"/>
        <bgColor indexed="64"/>
      </patternFill>
    </fill>
    <fill>
      <patternFill patternType="solid">
        <fgColor theme="4" tint="0.599993896298105"/>
        <bgColor indexed="64"/>
      </patternFill>
    </fill>
    <fill>
      <patternFill patternType="solid">
        <fgColor theme="6" tint="0.399975585192419"/>
        <bgColor indexed="64"/>
      </patternFill>
    </fill>
    <fill>
      <patternFill patternType="solid">
        <fgColor theme="4"/>
        <bgColor indexed="64"/>
      </patternFill>
    </fill>
    <fill>
      <patternFill patternType="solid">
        <fgColor theme="6" tint="0.799981688894314"/>
        <bgColor indexed="64"/>
      </patternFill>
    </fill>
    <fill>
      <patternFill patternType="solid">
        <fgColor theme="4" tint="0.799981688894314"/>
        <bgColor indexed="64"/>
      </patternFill>
    </fill>
    <fill>
      <patternFill patternType="solid">
        <fgColor theme="8" tint="0.799981688894314"/>
        <bgColor indexed="64"/>
      </patternFill>
    </fill>
    <fill>
      <patternFill patternType="solid">
        <fgColor theme="4" tint="0.399975585192419"/>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7" tint="0.599993896298105"/>
        <bgColor indexed="64"/>
      </patternFill>
    </fill>
    <fill>
      <patternFill patternType="solid">
        <fgColor theme="9" tint="0.399975585192419"/>
        <bgColor indexed="64"/>
      </patternFill>
    </fill>
    <fill>
      <patternFill patternType="solid">
        <fgColor theme="9" tint="0.59999389629810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7" fillId="6" borderId="1"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10" fillId="8"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14" fillId="0" borderId="0" applyNumberFormat="0" applyFill="0" applyBorder="0" applyAlignment="0" applyProtection="0">
      <alignment vertical="center"/>
    </xf>
    <xf numFmtId="0" fontId="1" fillId="11" borderId="0" applyNumberFormat="0" applyBorder="0" applyAlignment="0" applyProtection="0">
      <alignment vertical="center"/>
    </xf>
    <xf numFmtId="0" fontId="9" fillId="0" borderId="0" applyNumberFormat="0" applyFill="0" applyBorder="0" applyAlignment="0" applyProtection="0">
      <alignment vertical="center"/>
    </xf>
    <xf numFmtId="0" fontId="10" fillId="13" borderId="0" applyNumberFormat="0" applyBorder="0" applyAlignment="0" applyProtection="0">
      <alignment vertical="center"/>
    </xf>
    <xf numFmtId="0" fontId="0" fillId="5" borderId="4" applyNumberFormat="0" applyFont="0" applyAlignment="0" applyProtection="0">
      <alignment vertical="center"/>
    </xf>
    <xf numFmtId="0" fontId="13" fillId="9" borderId="0" applyNumberFormat="0" applyBorder="0" applyAlignment="0" applyProtection="0">
      <alignment vertical="center"/>
    </xf>
    <xf numFmtId="0" fontId="5" fillId="0" borderId="0" applyNumberFormat="0" applyFill="0" applyBorder="0" applyAlignment="0" applyProtection="0">
      <alignment vertical="center"/>
    </xf>
    <xf numFmtId="0" fontId="4" fillId="0" borderId="2" applyNumberFormat="0" applyFill="0" applyAlignment="0" applyProtection="0">
      <alignment vertical="center"/>
    </xf>
    <xf numFmtId="0" fontId="2"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 fillId="15" borderId="0" applyNumberFormat="0" applyBorder="0" applyAlignment="0" applyProtection="0">
      <alignment vertical="center"/>
    </xf>
    <xf numFmtId="0" fontId="16" fillId="3" borderId="7" applyNumberFormat="0" applyAlignment="0" applyProtection="0">
      <alignment vertical="center"/>
    </xf>
    <xf numFmtId="0" fontId="12" fillId="0" borderId="6" applyNumberFormat="0" applyFill="0" applyAlignment="0" applyProtection="0">
      <alignment vertical="center"/>
    </xf>
    <xf numFmtId="0" fontId="19" fillId="0" borderId="6" applyNumberFormat="0" applyFill="0" applyAlignment="0" applyProtection="0">
      <alignment vertical="center"/>
    </xf>
    <xf numFmtId="0" fontId="3" fillId="3" borderId="1" applyNumberFormat="0" applyAlignment="0" applyProtection="0">
      <alignment vertical="center"/>
    </xf>
    <xf numFmtId="0" fontId="11" fillId="0" borderId="5" applyNumberFormat="0" applyFill="0" applyAlignment="0" applyProtection="0">
      <alignment vertical="center"/>
    </xf>
    <xf numFmtId="0" fontId="11" fillId="0" borderId="0" applyNumberFormat="0" applyFill="0" applyBorder="0" applyAlignment="0" applyProtection="0">
      <alignment vertical="center"/>
    </xf>
    <xf numFmtId="0" fontId="1" fillId="7" borderId="0" applyNumberFormat="0" applyBorder="0" applyAlignment="0" applyProtection="0">
      <alignment vertical="center"/>
    </xf>
    <xf numFmtId="0" fontId="6" fillId="4" borderId="3" applyNumberFormat="0" applyAlignment="0" applyProtection="0">
      <alignment vertical="center"/>
    </xf>
    <xf numFmtId="0" fontId="10" fillId="20" borderId="0" applyNumberFormat="0" applyBorder="0" applyAlignment="0" applyProtection="0">
      <alignment vertical="center"/>
    </xf>
    <xf numFmtId="0" fontId="18" fillId="0" borderId="8" applyNumberFormat="0" applyFill="0" applyAlignment="0" applyProtection="0">
      <alignment vertical="center"/>
    </xf>
    <xf numFmtId="0" fontId="17" fillId="18" borderId="0" applyNumberFormat="0" applyBorder="0" applyAlignment="0" applyProtection="0">
      <alignment vertical="center"/>
    </xf>
    <xf numFmtId="0" fontId="15" fillId="16" borderId="0" applyNumberFormat="0" applyBorder="0" applyAlignment="0" applyProtection="0">
      <alignment vertical="center"/>
    </xf>
    <xf numFmtId="0" fontId="1" fillId="22" borderId="0" applyNumberFormat="0" applyBorder="0" applyAlignment="0" applyProtection="0">
      <alignment vertical="center"/>
    </xf>
    <xf numFmtId="0" fontId="10" fillId="24" borderId="0" applyNumberFormat="0" applyBorder="0" applyAlignment="0" applyProtection="0">
      <alignment vertical="center"/>
    </xf>
    <xf numFmtId="0" fontId="10" fillId="25" borderId="0" applyNumberFormat="0" applyBorder="0" applyAlignment="0" applyProtection="0">
      <alignment vertical="center"/>
    </xf>
    <xf numFmtId="0" fontId="1" fillId="26" borderId="0" applyNumberFormat="0" applyBorder="0" applyAlignment="0" applyProtection="0">
      <alignment vertical="center"/>
    </xf>
    <xf numFmtId="0" fontId="10" fillId="28" borderId="0" applyNumberFormat="0" applyBorder="0" applyAlignment="0" applyProtection="0">
      <alignment vertical="center"/>
    </xf>
    <xf numFmtId="0" fontId="10" fillId="29" borderId="0" applyNumberFormat="0" applyBorder="0" applyAlignment="0" applyProtection="0">
      <alignment vertical="center"/>
    </xf>
    <xf numFmtId="0" fontId="10" fillId="12" borderId="0" applyNumberFormat="0" applyBorder="0" applyAlignment="0" applyProtection="0">
      <alignment vertical="center"/>
    </xf>
    <xf numFmtId="0" fontId="1" fillId="27" borderId="0" applyNumberFormat="0" applyBorder="0" applyAlignment="0" applyProtection="0">
      <alignment vertical="center"/>
    </xf>
    <xf numFmtId="0" fontId="1" fillId="19" borderId="0" applyNumberFormat="0" applyBorder="0" applyAlignment="0" applyProtection="0">
      <alignment vertical="center"/>
    </xf>
    <xf numFmtId="0" fontId="10" fillId="23" borderId="0" applyNumberFormat="0" applyBorder="0" applyAlignment="0" applyProtection="0">
      <alignment vertical="center"/>
    </xf>
    <xf numFmtId="0" fontId="10" fillId="10" borderId="0" applyNumberFormat="0" applyBorder="0" applyAlignment="0" applyProtection="0">
      <alignment vertical="center"/>
    </xf>
    <xf numFmtId="0" fontId="1" fillId="21" borderId="0" applyNumberFormat="0" applyBorder="0" applyAlignment="0" applyProtection="0">
      <alignment vertical="center"/>
    </xf>
    <xf numFmtId="0" fontId="1" fillId="2" borderId="0" applyNumberFormat="0" applyBorder="0" applyAlignment="0" applyProtection="0">
      <alignment vertical="center"/>
    </xf>
    <xf numFmtId="0" fontId="10" fillId="30" borderId="0" applyNumberFormat="0" applyBorder="0" applyAlignment="0" applyProtection="0">
      <alignment vertical="center"/>
    </xf>
    <xf numFmtId="0" fontId="1" fillId="17" borderId="0" applyNumberFormat="0" applyBorder="0" applyAlignment="0" applyProtection="0">
      <alignment vertical="center"/>
    </xf>
    <xf numFmtId="0" fontId="1" fillId="14" borderId="0" applyNumberFormat="0" applyBorder="0" applyAlignment="0" applyProtection="0">
      <alignment vertical="center"/>
    </xf>
    <xf numFmtId="0" fontId="10" fillId="32" borderId="0" applyNumberFormat="0" applyBorder="0" applyAlignment="0" applyProtection="0">
      <alignment vertical="center"/>
    </xf>
    <xf numFmtId="0" fontId="1" fillId="31"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7"/>
  <sheetViews>
    <sheetView tabSelected="1" workbookViewId="0">
      <selection activeCell="N4" sqref="N4"/>
    </sheetView>
  </sheetViews>
  <sheetFormatPr defaultColWidth="9" defaultRowHeight="13" outlineLevelRow="6"/>
  <cols>
    <col min="3" max="3" width="11.6363636363636" customWidth="1"/>
    <col min="4" max="4" width="23" customWidth="1"/>
    <col min="5" max="5" width="7.54545454545455" customWidth="1"/>
    <col min="6" max="6" width="9.09090909090909" customWidth="1"/>
    <col min="7" max="7" width="9" style="2"/>
    <col min="8" max="8" width="6.18181818181818" customWidth="1"/>
    <col min="9" max="9" width="6.81818181818182" customWidth="1"/>
    <col min="10" max="10" width="6.45454545454545" customWidth="1"/>
    <col min="11" max="11" width="6.63636363636364" customWidth="1"/>
    <col min="12" max="13" width="7.09090909090909" customWidth="1"/>
    <col min="14" max="14" width="7.36363636363636" customWidth="1"/>
  </cols>
  <sheetData>
    <row r="1" spans="1:34">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row>
    <row r="2" spans="1:34">
      <c r="A2">
        <v>1</v>
      </c>
      <c r="B2">
        <v>1</v>
      </c>
      <c r="C2" t="str">
        <f>INDEX(TextData!B:B,MATCH(B2,TextData!A:A))</f>
        <v>エリシャ</v>
      </c>
      <c r="D2" t="str">
        <f>INDEX(TextData!C:C,MATCH(B2,TextData!A:A))</f>
        <v>Alisha</v>
      </c>
      <c r="E2">
        <v>1</v>
      </c>
      <c r="F2">
        <v>1</v>
      </c>
      <c r="G2" s="2" t="s">
        <v>33</v>
      </c>
      <c r="H2">
        <v>1</v>
      </c>
      <c r="I2">
        <v>99</v>
      </c>
      <c r="J2">
        <v>39</v>
      </c>
      <c r="K2">
        <v>5</v>
      </c>
      <c r="L2">
        <v>30</v>
      </c>
      <c r="M2">
        <v>15</v>
      </c>
      <c r="N2">
        <v>15</v>
      </c>
      <c r="O2">
        <v>55</v>
      </c>
      <c r="P2">
        <v>100</v>
      </c>
      <c r="Q2">
        <v>60</v>
      </c>
      <c r="R2">
        <v>30</v>
      </c>
      <c r="S2">
        <v>35</v>
      </c>
      <c r="T2">
        <v>1</v>
      </c>
      <c r="U2">
        <v>4</v>
      </c>
      <c r="V2">
        <v>4</v>
      </c>
      <c r="W2">
        <v>5</v>
      </c>
      <c r="X2">
        <v>5</v>
      </c>
      <c r="Y2">
        <v>2</v>
      </c>
      <c r="Z2">
        <v>-88</v>
      </c>
      <c r="AA2">
        <v>24</v>
      </c>
      <c r="AB2">
        <v>0.75</v>
      </c>
      <c r="AC2">
        <v>0</v>
      </c>
      <c r="AD2">
        <v>0</v>
      </c>
      <c r="AE2">
        <v>1</v>
      </c>
      <c r="AF2">
        <v>0</v>
      </c>
      <c r="AG2">
        <v>0</v>
      </c>
      <c r="AH2">
        <v>0</v>
      </c>
    </row>
    <row r="3" spans="1:34">
      <c r="A3">
        <v>2</v>
      </c>
      <c r="B3">
        <v>2</v>
      </c>
      <c r="C3" t="str">
        <f>INDEX(TextData!B:B,MATCH(B3,TextData!A:A))</f>
        <v>ソラ</v>
      </c>
      <c r="D3" t="str">
        <f>INDEX(TextData!C:C,MATCH(B3,TextData!A:A))</f>
        <v>Sora</v>
      </c>
      <c r="E3">
        <v>2</v>
      </c>
      <c r="F3">
        <v>1</v>
      </c>
      <c r="G3" s="2" t="s">
        <v>34</v>
      </c>
      <c r="H3">
        <v>1</v>
      </c>
      <c r="I3">
        <v>99</v>
      </c>
      <c r="J3">
        <v>29</v>
      </c>
      <c r="K3">
        <v>5</v>
      </c>
      <c r="L3">
        <v>21</v>
      </c>
      <c r="M3">
        <v>5</v>
      </c>
      <c r="N3">
        <v>28</v>
      </c>
      <c r="O3">
        <v>60</v>
      </c>
      <c r="P3">
        <v>100</v>
      </c>
      <c r="Q3">
        <v>40</v>
      </c>
      <c r="R3">
        <v>25</v>
      </c>
      <c r="S3">
        <v>70</v>
      </c>
      <c r="T3">
        <v>4</v>
      </c>
      <c r="U3">
        <v>1</v>
      </c>
      <c r="V3">
        <v>7</v>
      </c>
      <c r="W3">
        <v>7</v>
      </c>
      <c r="X3">
        <v>2</v>
      </c>
      <c r="Y3">
        <v>3</v>
      </c>
      <c r="Z3">
        <v>-20</v>
      </c>
      <c r="AA3">
        <v>-52</v>
      </c>
      <c r="AB3">
        <v>0.75</v>
      </c>
      <c r="AC3">
        <v>0</v>
      </c>
      <c r="AD3">
        <v>0</v>
      </c>
      <c r="AE3">
        <v>1</v>
      </c>
      <c r="AF3">
        <v>0</v>
      </c>
      <c r="AG3">
        <v>0</v>
      </c>
      <c r="AH3">
        <v>0</v>
      </c>
    </row>
    <row r="4" spans="1:34">
      <c r="A4">
        <v>3</v>
      </c>
      <c r="B4">
        <v>3</v>
      </c>
      <c r="C4" t="str">
        <f>INDEX(TextData!B:B,MATCH(B4,TextData!A:A))</f>
        <v>リジェ</v>
      </c>
      <c r="D4" t="str">
        <f>INDEX(TextData!C:C,MATCH(B4,TextData!A:A))</f>
        <v>Ligier</v>
      </c>
      <c r="E4">
        <v>3</v>
      </c>
      <c r="F4">
        <v>2</v>
      </c>
      <c r="G4" s="2" t="s">
        <v>35</v>
      </c>
      <c r="H4">
        <v>4</v>
      </c>
      <c r="I4">
        <v>99</v>
      </c>
      <c r="J4">
        <v>35</v>
      </c>
      <c r="K4">
        <v>5</v>
      </c>
      <c r="L4">
        <v>18</v>
      </c>
      <c r="M4">
        <v>8</v>
      </c>
      <c r="N4">
        <v>23</v>
      </c>
      <c r="O4">
        <v>55</v>
      </c>
      <c r="P4">
        <v>100</v>
      </c>
      <c r="Q4">
        <v>40</v>
      </c>
      <c r="R4">
        <v>50</v>
      </c>
      <c r="S4">
        <v>40</v>
      </c>
      <c r="T4">
        <v>4</v>
      </c>
      <c r="U4">
        <v>6</v>
      </c>
      <c r="V4">
        <v>1</v>
      </c>
      <c r="W4">
        <v>2</v>
      </c>
      <c r="X4">
        <v>3</v>
      </c>
      <c r="Y4">
        <v>6</v>
      </c>
      <c r="Z4">
        <v>-96</v>
      </c>
      <c r="AA4">
        <v>-64</v>
      </c>
      <c r="AB4">
        <v>0.75</v>
      </c>
      <c r="AC4">
        <v>0</v>
      </c>
      <c r="AD4">
        <v>0</v>
      </c>
      <c r="AE4">
        <v>1</v>
      </c>
      <c r="AF4">
        <v>0</v>
      </c>
      <c r="AG4">
        <v>0</v>
      </c>
      <c r="AH4">
        <v>0</v>
      </c>
    </row>
    <row r="5" spans="1:34">
      <c r="A5">
        <v>4</v>
      </c>
      <c r="B5">
        <v>4</v>
      </c>
      <c r="C5" t="str">
        <f>INDEX(TextData!B:B,MATCH(B5,TextData!A:A))</f>
        <v>ミシェル</v>
      </c>
      <c r="D5" t="str">
        <f>INDEX(TextData!C:C,MATCH(B5,TextData!A:A))</f>
        <v>Michelle</v>
      </c>
      <c r="E5">
        <v>4</v>
      </c>
      <c r="F5">
        <v>4</v>
      </c>
      <c r="G5" s="2" t="s">
        <v>36</v>
      </c>
      <c r="H5">
        <v>1</v>
      </c>
      <c r="I5">
        <v>99</v>
      </c>
      <c r="J5">
        <v>32</v>
      </c>
      <c r="K5">
        <v>5</v>
      </c>
      <c r="L5">
        <v>15</v>
      </c>
      <c r="M5">
        <v>7</v>
      </c>
      <c r="N5">
        <v>21</v>
      </c>
      <c r="O5">
        <v>85</v>
      </c>
      <c r="P5">
        <v>100</v>
      </c>
      <c r="Q5">
        <v>35</v>
      </c>
      <c r="R5">
        <v>15</v>
      </c>
      <c r="S5">
        <v>30</v>
      </c>
      <c r="T5">
        <v>7</v>
      </c>
      <c r="U5">
        <v>4</v>
      </c>
      <c r="V5">
        <v>7</v>
      </c>
      <c r="W5">
        <v>1</v>
      </c>
      <c r="X5">
        <v>7</v>
      </c>
      <c r="Y5">
        <v>7</v>
      </c>
      <c r="Z5">
        <v>-4</v>
      </c>
      <c r="AA5">
        <v>-68</v>
      </c>
      <c r="AB5">
        <v>0.75</v>
      </c>
      <c r="AC5">
        <v>0</v>
      </c>
      <c r="AD5">
        <v>0</v>
      </c>
      <c r="AE5">
        <v>1</v>
      </c>
      <c r="AF5">
        <v>0</v>
      </c>
      <c r="AG5">
        <v>0</v>
      </c>
      <c r="AH5">
        <v>0</v>
      </c>
    </row>
    <row r="6" spans="1:34">
      <c r="A6">
        <v>5</v>
      </c>
      <c r="B6">
        <v>5</v>
      </c>
      <c r="C6" t="str">
        <f>INDEX(TextData!B:B,MATCH(B6,TextData!A:A))</f>
        <v>シイナ</v>
      </c>
      <c r="D6" t="str">
        <f>INDEX(TextData!C:C,MATCH(B6,TextData!A:A))</f>
        <v>Shiina</v>
      </c>
      <c r="E6">
        <v>5</v>
      </c>
      <c r="F6">
        <v>5</v>
      </c>
      <c r="G6" s="2" t="s">
        <v>37</v>
      </c>
      <c r="H6">
        <v>1</v>
      </c>
      <c r="I6">
        <v>99</v>
      </c>
      <c r="J6">
        <v>29</v>
      </c>
      <c r="K6">
        <v>5</v>
      </c>
      <c r="L6">
        <v>12</v>
      </c>
      <c r="M6">
        <v>9</v>
      </c>
      <c r="N6">
        <v>12</v>
      </c>
      <c r="O6">
        <v>70</v>
      </c>
      <c r="P6">
        <v>100</v>
      </c>
      <c r="Q6">
        <v>30</v>
      </c>
      <c r="R6">
        <v>40</v>
      </c>
      <c r="S6">
        <v>45</v>
      </c>
      <c r="T6">
        <v>5</v>
      </c>
      <c r="U6">
        <v>5</v>
      </c>
      <c r="V6">
        <v>2</v>
      </c>
      <c r="W6">
        <v>6</v>
      </c>
      <c r="X6">
        <v>1</v>
      </c>
      <c r="Y6">
        <v>3</v>
      </c>
      <c r="Z6">
        <v>-8</v>
      </c>
      <c r="AA6">
        <v>-44</v>
      </c>
      <c r="AB6">
        <v>0.75</v>
      </c>
      <c r="AC6">
        <v>0</v>
      </c>
      <c r="AD6">
        <v>0</v>
      </c>
      <c r="AE6">
        <v>1</v>
      </c>
      <c r="AF6">
        <v>0</v>
      </c>
      <c r="AG6">
        <v>0</v>
      </c>
      <c r="AH6">
        <v>0</v>
      </c>
    </row>
    <row r="7" spans="1:34">
      <c r="A7">
        <v>6</v>
      </c>
      <c r="B7">
        <v>6</v>
      </c>
      <c r="C7" t="str">
        <f>INDEX(TextData!B:B,MATCH(B7,TextData!A:A))</f>
        <v>ルネ</v>
      </c>
      <c r="D7" t="str">
        <f>INDEX(TextData!C:C,MATCH(B7,TextData!A:A))</f>
        <v>Renee</v>
      </c>
      <c r="E7">
        <v>6</v>
      </c>
      <c r="F7">
        <v>3</v>
      </c>
      <c r="G7" s="2" t="s">
        <v>38</v>
      </c>
      <c r="H7">
        <v>1</v>
      </c>
      <c r="I7">
        <v>99</v>
      </c>
      <c r="J7">
        <v>30</v>
      </c>
      <c r="K7">
        <v>5</v>
      </c>
      <c r="L7">
        <v>20</v>
      </c>
      <c r="M7">
        <v>19</v>
      </c>
      <c r="N7">
        <v>20</v>
      </c>
      <c r="O7">
        <v>40</v>
      </c>
      <c r="P7">
        <v>100</v>
      </c>
      <c r="Q7">
        <v>50</v>
      </c>
      <c r="R7">
        <v>50</v>
      </c>
      <c r="S7">
        <v>50</v>
      </c>
      <c r="T7">
        <v>3</v>
      </c>
      <c r="U7">
        <v>3</v>
      </c>
      <c r="V7">
        <v>3</v>
      </c>
      <c r="W7">
        <v>4</v>
      </c>
      <c r="X7">
        <v>4</v>
      </c>
      <c r="Y7">
        <v>1</v>
      </c>
      <c r="Z7">
        <v>48</v>
      </c>
      <c r="AA7">
        <v>-68</v>
      </c>
      <c r="AB7">
        <v>0.75</v>
      </c>
      <c r="AC7">
        <v>0</v>
      </c>
      <c r="AD7">
        <v>0</v>
      </c>
      <c r="AE7">
        <v>1</v>
      </c>
      <c r="AF7">
        <v>0</v>
      </c>
      <c r="AG7">
        <v>0</v>
      </c>
      <c r="AH7">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5"/>
  <sheetViews>
    <sheetView workbookViewId="0">
      <selection activeCell="B10" sqref="B10"/>
    </sheetView>
  </sheetViews>
  <sheetFormatPr defaultColWidth="8.72727272727273" defaultRowHeight="13" outlineLevelCol="2"/>
  <cols>
    <col min="2" max="2" width="44.2727272727273" customWidth="1"/>
  </cols>
  <sheetData>
    <row r="1" spans="1:3">
      <c r="A1" t="s">
        <v>39</v>
      </c>
      <c r="B1" t="s">
        <v>40</v>
      </c>
      <c r="C1" t="s">
        <v>41</v>
      </c>
    </row>
    <row r="2" spans="1:3">
      <c r="A2">
        <v>1</v>
      </c>
      <c r="B2" t="s">
        <v>42</v>
      </c>
      <c r="C2">
        <v>0</v>
      </c>
    </row>
    <row r="3" spans="1:3">
      <c r="A3">
        <v>1</v>
      </c>
      <c r="B3">
        <v>11060</v>
      </c>
      <c r="C3">
        <v>11</v>
      </c>
    </row>
    <row r="4" spans="1:3">
      <c r="A4">
        <v>1</v>
      </c>
      <c r="B4">
        <v>401060</v>
      </c>
      <c r="C4">
        <v>26</v>
      </c>
    </row>
    <row r="5" spans="1:3">
      <c r="A5">
        <v>1</v>
      </c>
      <c r="B5">
        <v>1020</v>
      </c>
      <c r="C5">
        <v>41</v>
      </c>
    </row>
    <row r="6" spans="1:2">
      <c r="A6">
        <v>2</v>
      </c>
      <c r="B6" t="s">
        <v>43</v>
      </c>
    </row>
    <row r="7" spans="1:3">
      <c r="A7">
        <v>2</v>
      </c>
      <c r="B7">
        <v>12080</v>
      </c>
      <c r="C7">
        <v>11</v>
      </c>
    </row>
    <row r="8" spans="1:3">
      <c r="A8">
        <v>2</v>
      </c>
      <c r="B8">
        <v>12040</v>
      </c>
      <c r="C8">
        <v>26</v>
      </c>
    </row>
    <row r="9" spans="1:3">
      <c r="A9">
        <v>2</v>
      </c>
      <c r="B9">
        <v>2060</v>
      </c>
      <c r="C9">
        <v>41</v>
      </c>
    </row>
    <row r="10" spans="1:2">
      <c r="A10">
        <v>3</v>
      </c>
      <c r="B10" t="s">
        <v>44</v>
      </c>
    </row>
    <row r="11" spans="1:3">
      <c r="A11">
        <v>3</v>
      </c>
      <c r="B11">
        <v>13080</v>
      </c>
      <c r="C11">
        <v>11</v>
      </c>
    </row>
    <row r="12" spans="1:3">
      <c r="A12">
        <v>3</v>
      </c>
      <c r="B12">
        <v>403010</v>
      </c>
      <c r="C12">
        <v>26</v>
      </c>
    </row>
    <row r="13" spans="1:3">
      <c r="A13">
        <v>3</v>
      </c>
      <c r="B13">
        <v>3040</v>
      </c>
      <c r="C13">
        <v>41</v>
      </c>
    </row>
    <row r="14" spans="1:2">
      <c r="A14">
        <v>4</v>
      </c>
      <c r="B14" t="s">
        <v>45</v>
      </c>
    </row>
    <row r="15" spans="1:3">
      <c r="A15">
        <v>4</v>
      </c>
      <c r="B15">
        <v>14080</v>
      </c>
      <c r="C15">
        <v>11</v>
      </c>
    </row>
    <row r="16" spans="1:3">
      <c r="A16">
        <v>4</v>
      </c>
      <c r="B16">
        <v>404030</v>
      </c>
      <c r="C16">
        <v>26</v>
      </c>
    </row>
    <row r="17" spans="1:3">
      <c r="A17">
        <v>4</v>
      </c>
      <c r="B17">
        <v>4060</v>
      </c>
      <c r="C17">
        <v>41</v>
      </c>
    </row>
    <row r="18" spans="1:2">
      <c r="A18">
        <v>5</v>
      </c>
      <c r="B18" t="s">
        <v>46</v>
      </c>
    </row>
    <row r="19" spans="1:3">
      <c r="A19">
        <v>5</v>
      </c>
      <c r="B19">
        <v>15090</v>
      </c>
      <c r="C19">
        <v>11</v>
      </c>
    </row>
    <row r="20" spans="1:3">
      <c r="A20">
        <v>5</v>
      </c>
      <c r="B20">
        <v>405070</v>
      </c>
      <c r="C20">
        <v>26</v>
      </c>
    </row>
    <row r="21" spans="1:3">
      <c r="A21">
        <v>5</v>
      </c>
      <c r="B21">
        <v>5040</v>
      </c>
      <c r="C21">
        <v>41</v>
      </c>
    </row>
    <row r="22" spans="1:2">
      <c r="A22">
        <v>6</v>
      </c>
      <c r="B22" t="s">
        <v>47</v>
      </c>
    </row>
    <row r="23" spans="1:3">
      <c r="A23">
        <v>6</v>
      </c>
      <c r="B23">
        <v>11040</v>
      </c>
      <c r="C23">
        <v>11</v>
      </c>
    </row>
    <row r="24" spans="1:3">
      <c r="A24">
        <v>6</v>
      </c>
      <c r="B24">
        <v>401030</v>
      </c>
      <c r="C24">
        <v>26</v>
      </c>
    </row>
    <row r="25" spans="1:3">
      <c r="A25">
        <v>6</v>
      </c>
      <c r="B25">
        <v>1070</v>
      </c>
      <c r="C2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61"/>
  <sheetViews>
    <sheetView topLeftCell="A50" workbookViewId="0">
      <selection activeCell="A62" sqref="$A62:$XFD115"/>
    </sheetView>
  </sheetViews>
  <sheetFormatPr defaultColWidth="8.72727272727273" defaultRowHeight="13" outlineLevelCol="3"/>
  <cols>
    <col min="3" max="4" width="12.9090909090909" customWidth="1"/>
  </cols>
  <sheetData>
    <row r="1" spans="1:4">
      <c r="A1" t="s">
        <v>39</v>
      </c>
      <c r="B1" t="s">
        <v>40</v>
      </c>
      <c r="C1" t="s">
        <v>48</v>
      </c>
      <c r="D1" t="s">
        <v>49</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7"/>
  <sheetViews>
    <sheetView topLeftCell="A4" workbookViewId="0">
      <selection activeCell="A8" sqref="$A8:$XFD17"/>
    </sheetView>
  </sheetViews>
  <sheetFormatPr defaultColWidth="8.72727272727273" defaultRowHeight="13" outlineLevelRow="6" outlineLevelCol="3"/>
  <cols>
    <col min="3" max="3" width="20.5454545454545" customWidth="1"/>
    <col min="4" max="4" width="45.1818181818182" customWidth="1"/>
  </cols>
  <sheetData>
    <row r="1" spans="1:4">
      <c r="A1" t="s">
        <v>0</v>
      </c>
      <c r="B1" t="s">
        <v>50</v>
      </c>
      <c r="C1" t="s">
        <v>51</v>
      </c>
      <c r="D1" t="s">
        <v>52</v>
      </c>
    </row>
    <row r="2" ht="39" spans="1:4">
      <c r="A2">
        <v>1</v>
      </c>
      <c r="B2" t="s">
        <v>53</v>
      </c>
      <c r="C2" t="s">
        <v>54</v>
      </c>
      <c r="D2" s="1" t="s">
        <v>55</v>
      </c>
    </row>
    <row r="3" ht="39" spans="1:4">
      <c r="A3">
        <v>2</v>
      </c>
      <c r="B3" t="s">
        <v>56</v>
      </c>
      <c r="C3" t="s">
        <v>57</v>
      </c>
      <c r="D3" s="1" t="s">
        <v>58</v>
      </c>
    </row>
    <row r="4" ht="39" spans="1:4">
      <c r="A4">
        <v>3</v>
      </c>
      <c r="B4" t="s">
        <v>59</v>
      </c>
      <c r="C4" t="s">
        <v>60</v>
      </c>
      <c r="D4" s="1" t="s">
        <v>61</v>
      </c>
    </row>
    <row r="5" ht="39" spans="1:4">
      <c r="A5">
        <v>4</v>
      </c>
      <c r="B5" t="s">
        <v>62</v>
      </c>
      <c r="C5" t="s">
        <v>63</v>
      </c>
      <c r="D5" s="1" t="s">
        <v>64</v>
      </c>
    </row>
    <row r="6" ht="52" spans="1:4">
      <c r="A6">
        <v>5</v>
      </c>
      <c r="B6" t="s">
        <v>65</v>
      </c>
      <c r="C6" t="s">
        <v>66</v>
      </c>
      <c r="D6" s="1" t="s">
        <v>67</v>
      </c>
    </row>
    <row r="7" ht="39" spans="1:4">
      <c r="A7">
        <v>6</v>
      </c>
      <c r="B7" t="s">
        <v>68</v>
      </c>
      <c r="C7" t="s">
        <v>69</v>
      </c>
      <c r="D7" s="1" t="s">
        <v>70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2024-12-07T03:03:21Z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