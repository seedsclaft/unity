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<sst xmlns="http://schemas.openxmlformats.org/spreadsheetml/2006/main" count="99" uniqueCount="95">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</sst>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00_-\ ;\-&quot;\&quot;* #,##0.00_-\ ;_-&quot;\&quot;* &quot;-&quot;??_-\ ;_-@_-"/>
    <numFmt numFmtId="178" formatCode="_-&quot;\&quot;* #,##0_-\ ;\-&quot;\&quot;* #,##0_-\ ;_-&quot;\&quot;* &quot;-&quot;??_-\ ;_-@_-"/>
  </numFmts>
  <fonts count="20">
    <font>
      <sz val="11"/>
      <color theme="1"/>
      <name val="ＭＳ Ｐゴシック"/>
      <charset val="134"/>
      <scheme val="minor"/>
    </font>
    <font>
      <sz val="11"/>
      <color rgb="FF9C0006"/>
      <name val="ＭＳ Ｐゴシック"/>
      <charset val="0"/>
      <scheme val="minor"/>
    </font>
    <font>
      <b/>
      <sz val="11"/>
      <color rgb="FFFFFFFF"/>
      <name val="ＭＳ Ｐゴシック"/>
      <charset val="0"/>
      <scheme val="minor"/>
    </font>
    <font>
      <sz val="11"/>
      <color rgb="FF3F3F76"/>
      <name val="ＭＳ Ｐゴシック"/>
      <charset val="0"/>
      <scheme val="minor"/>
    </font>
    <font>
      <b/>
      <sz val="15"/>
      <color theme="3"/>
      <name val="ＭＳ Ｐゴシック"/>
      <charset val="134"/>
      <scheme val="minor"/>
    </font>
    <font>
      <sz val="11"/>
      <color theme="1"/>
      <name val="ＭＳ Ｐゴシック"/>
      <charset val="0"/>
      <scheme val="minor"/>
    </font>
    <font>
      <sz val="11"/>
      <color theme="0"/>
      <name val="ＭＳ Ｐゴシック"/>
      <charset val="0"/>
      <scheme val="minor"/>
    </font>
    <font>
      <b/>
      <sz val="13"/>
      <color theme="3"/>
      <name val="ＭＳ Ｐゴシック"/>
      <charset val="134"/>
      <scheme val="minor"/>
    </font>
    <font>
      <b/>
      <sz val="11"/>
      <color theme="3"/>
      <name val="ＭＳ Ｐゴシック"/>
      <charset val="134"/>
      <scheme val="minor"/>
    </font>
    <font>
      <i/>
      <sz val="11"/>
      <color rgb="FF7F7F7F"/>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b/>
      <sz val="18"/>
      <color theme="3"/>
      <name val="ＭＳ Ｐゴシック"/>
      <charset val="134"/>
      <scheme val="minor"/>
    </font>
    <font>
      <b/>
      <sz val="11"/>
      <color rgb="FF3F3F3F"/>
      <name val="ＭＳ Ｐゴシック"/>
      <charset val="0"/>
      <scheme val="minor"/>
    </font>
    <font>
      <b/>
      <sz val="11"/>
      <color theme="1"/>
      <name val="ＭＳ Ｐゴシック"/>
      <charset val="0"/>
      <scheme val="minor"/>
    </font>
    <font>
      <b/>
      <sz val="11"/>
      <color rgb="FFFA7D0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FC7CE"/>
        <bgColor indexed="64"/>
      </patternFill>
    </fill>
    <fill>
      <patternFill patternType="solid">
        <fgColor rgb="FFA5A5A5"/>
        <bgColor indexed="64"/>
      </patternFill>
    </fill>
    <fill>
      <patternFill patternType="solid">
        <fgColor rgb="FFFFCC99"/>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8"/>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7" tint="0.399975585192419"/>
        <bgColor indexed="64"/>
      </patternFill>
    </fill>
    <fill>
      <patternFill patternType="solid">
        <fgColor theme="5"/>
        <bgColor indexed="64"/>
      </patternFill>
    </fill>
    <fill>
      <patternFill patternType="solid">
        <fgColor theme="6"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9"/>
        <bgColor indexed="64"/>
      </patternFill>
    </fill>
    <fill>
      <patternFill patternType="solid">
        <fgColor theme="5" tint="0.399975585192419"/>
        <bgColor indexed="64"/>
      </patternFill>
    </fill>
    <fill>
      <patternFill patternType="solid">
        <fgColor theme="4" tint="0.599993896298105"/>
        <bgColor indexed="64"/>
      </patternFill>
    </fill>
    <fill>
      <patternFill patternType="solid">
        <fgColor rgb="FFF2F2F2"/>
        <bgColor indexed="64"/>
      </patternFill>
    </fill>
    <fill>
      <patternFill patternType="solid">
        <fgColor theme="7" tint="0.599993896298105"/>
        <bgColor indexed="64"/>
      </patternFill>
    </fill>
    <fill>
      <patternFill patternType="solid">
        <fgColor theme="7"/>
        <bgColor indexed="64"/>
      </patternFill>
    </fill>
    <fill>
      <patternFill patternType="solid">
        <fgColor theme="4" tint="0.399975585192419"/>
        <bgColor indexed="64"/>
      </patternFill>
    </fill>
    <fill>
      <patternFill patternType="solid">
        <fgColor theme="8" tint="0.399975585192419"/>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9" tint="0.599993896298105"/>
        <bgColor indexed="64"/>
      </patternFill>
    </fill>
    <fill>
      <patternFill patternType="solid">
        <fgColor theme="6"/>
        <bgColor indexed="64"/>
      </patternFill>
    </fill>
    <fill>
      <patternFill patternType="solid">
        <fgColor theme="8" tint="0.799981688894314"/>
        <bgColor indexed="64"/>
      </patternFill>
    </fill>
    <fill>
      <patternFill patternType="solid">
        <fgColor theme="6" tint="0.399975585192419"/>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4" borderId="2"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5"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6" fillId="11" borderId="0" applyNumberFormat="0" applyBorder="0" applyAlignment="0" applyProtection="0">
      <alignment vertical="center"/>
    </xf>
    <xf numFmtId="0" fontId="11" fillId="0" borderId="0" applyNumberFormat="0" applyFill="0" applyBorder="0" applyAlignment="0" applyProtection="0">
      <alignment vertical="center"/>
    </xf>
    <xf numFmtId="0" fontId="5" fillId="13" borderId="0" applyNumberFormat="0" applyBorder="0" applyAlignment="0" applyProtection="0">
      <alignment vertical="center"/>
    </xf>
    <xf numFmtId="0" fontId="0" fillId="14" borderId="4" applyNumberFormat="0" applyFont="0" applyAlignment="0" applyProtection="0">
      <alignment vertical="center"/>
    </xf>
    <xf numFmtId="0" fontId="13" fillId="15" borderId="0" applyNumberFormat="0" applyBorder="0" applyAlignment="0" applyProtection="0">
      <alignment vertical="center"/>
    </xf>
    <xf numFmtId="0" fontId="14" fillId="0" borderId="0" applyNumberFormat="0" applyFill="0" applyBorder="0" applyAlignment="0" applyProtection="0">
      <alignment vertical="center"/>
    </xf>
    <xf numFmtId="0" fontId="12" fillId="0" borderId="5" applyNumberFormat="0" applyFill="0" applyAlignment="0" applyProtection="0">
      <alignment vertical="center"/>
    </xf>
    <xf numFmtId="0" fontId="15"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6" fillId="18" borderId="0" applyNumberFormat="0" applyBorder="0" applyAlignment="0" applyProtection="0">
      <alignment vertical="center"/>
    </xf>
    <xf numFmtId="0" fontId="16" fillId="21" borderId="6" applyNumberFormat="0" applyAlignment="0" applyProtection="0">
      <alignment vertical="center"/>
    </xf>
    <xf numFmtId="0" fontId="4" fillId="0" borderId="3" applyNumberFormat="0" applyFill="0" applyAlignment="0" applyProtection="0">
      <alignment vertical="center"/>
    </xf>
    <xf numFmtId="0" fontId="7" fillId="0" borderId="3" applyNumberFormat="0" applyFill="0" applyAlignment="0" applyProtection="0">
      <alignment vertical="center"/>
    </xf>
    <xf numFmtId="0" fontId="18" fillId="21" borderId="2" applyNumberFormat="0" applyAlignment="0" applyProtection="0">
      <alignment vertical="center"/>
    </xf>
    <xf numFmtId="0" fontId="8" fillId="0" borderId="8" applyNumberFormat="0" applyFill="0" applyAlignment="0" applyProtection="0">
      <alignment vertical="center"/>
    </xf>
    <xf numFmtId="0" fontId="8" fillId="0" borderId="0" applyNumberFormat="0" applyFill="0" applyBorder="0" applyAlignment="0" applyProtection="0">
      <alignment vertical="center"/>
    </xf>
    <xf numFmtId="0" fontId="6" fillId="25" borderId="0" applyNumberFormat="0" applyBorder="0" applyAlignment="0" applyProtection="0">
      <alignment vertical="center"/>
    </xf>
    <xf numFmtId="0" fontId="2" fillId="3" borderId="1" applyNumberFormat="0" applyAlignment="0" applyProtection="0">
      <alignment vertical="center"/>
    </xf>
    <xf numFmtId="0" fontId="5" fillId="20" borderId="0" applyNumberFormat="0" applyBorder="0" applyAlignment="0" applyProtection="0">
      <alignment vertical="center"/>
    </xf>
    <xf numFmtId="0" fontId="17" fillId="0" borderId="7" applyNumberFormat="0" applyFill="0" applyAlignment="0" applyProtection="0">
      <alignment vertical="center"/>
    </xf>
    <xf numFmtId="0" fontId="1" fillId="2" borderId="0" applyNumberFormat="0" applyBorder="0" applyAlignment="0" applyProtection="0">
      <alignment vertical="center"/>
    </xf>
    <xf numFmtId="0" fontId="19" fillId="26" borderId="0" applyNumberFormat="0" applyBorder="0" applyAlignment="0" applyProtection="0">
      <alignment vertical="center"/>
    </xf>
    <xf numFmtId="0" fontId="6" fillId="27" borderId="0" applyNumberFormat="0" applyBorder="0" applyAlignment="0" applyProtection="0">
      <alignment vertical="center"/>
    </xf>
    <xf numFmtId="0" fontId="5" fillId="28" borderId="0" applyNumberFormat="0" applyBorder="0" applyAlignment="0" applyProtection="0">
      <alignment vertical="center"/>
    </xf>
    <xf numFmtId="0" fontId="5" fillId="31" borderId="0" applyNumberFormat="0" applyBorder="0" applyAlignment="0" applyProtection="0">
      <alignment vertical="center"/>
    </xf>
    <xf numFmtId="0" fontId="6" fillId="24" borderId="0" applyNumberFormat="0" applyBorder="0" applyAlignment="0" applyProtection="0">
      <alignment vertical="center"/>
    </xf>
    <xf numFmtId="0" fontId="5" fillId="17" borderId="0" applyNumberFormat="0" applyBorder="0" applyAlignment="0" applyProtection="0">
      <alignment vertical="center"/>
    </xf>
    <xf numFmtId="0" fontId="5" fillId="9" borderId="0" applyNumberFormat="0" applyBorder="0" applyAlignment="0" applyProtection="0">
      <alignment vertical="center"/>
    </xf>
    <xf numFmtId="0" fontId="5" fillId="16" borderId="0" applyNumberFormat="0" applyBorder="0" applyAlignment="0" applyProtection="0">
      <alignment vertical="center"/>
    </xf>
    <xf numFmtId="0" fontId="6" fillId="19" borderId="0" applyNumberFormat="0" applyBorder="0" applyAlignment="0" applyProtection="0">
      <alignment vertical="center"/>
    </xf>
    <xf numFmtId="0" fontId="6" fillId="30" borderId="0" applyNumberFormat="0" applyBorder="0" applyAlignment="0" applyProtection="0">
      <alignment vertical="center"/>
    </xf>
    <xf numFmtId="0" fontId="5" fillId="8" borderId="0" applyNumberFormat="0" applyBorder="0" applyAlignment="0" applyProtection="0">
      <alignment vertical="center"/>
    </xf>
    <xf numFmtId="0" fontId="5" fillId="12" borderId="0" applyNumberFormat="0" applyBorder="0" applyAlignment="0" applyProtection="0">
      <alignment vertical="center"/>
    </xf>
    <xf numFmtId="0" fontId="6" fillId="32" borderId="0" applyNumberFormat="0" applyBorder="0" applyAlignment="0" applyProtection="0">
      <alignment vertical="center"/>
    </xf>
    <xf numFmtId="0" fontId="6" fillId="23" borderId="0" applyNumberFormat="0" applyBorder="0" applyAlignment="0" applyProtection="0">
      <alignment vertical="center"/>
    </xf>
    <xf numFmtId="0" fontId="5" fillId="22" borderId="0" applyNumberFormat="0" applyBorder="0" applyAlignment="0" applyProtection="0">
      <alignment vertical="center"/>
    </xf>
    <xf numFmtId="0" fontId="6" fillId="10" borderId="0" applyNumberFormat="0" applyBorder="0" applyAlignment="0" applyProtection="0">
      <alignment vertical="center"/>
    </xf>
    <xf numFmtId="0" fontId="6" fillId="7" borderId="0" applyNumberFormat="0" applyBorder="0" applyAlignment="0" applyProtection="0">
      <alignment vertical="center"/>
    </xf>
    <xf numFmtId="0" fontId="5" fillId="29" borderId="0" applyNumberFormat="0" applyBorder="0" applyAlignment="0" applyProtection="0">
      <alignment vertical="center"/>
    </xf>
    <xf numFmtId="0" fontId="6" fillId="6"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2"/>
  <sheetViews>
    <sheetView tabSelected="1" topLeftCell="D1" workbookViewId="0">
      <selection activeCell="R3" sqref="R3"/>
    </sheetView>
  </sheetViews>
  <sheetFormatPr defaultColWidth="9" defaultRowHeight="13"/>
  <cols>
    <col min="3" max="3" width="11.6363636363636" customWidth="1"/>
    <col min="4" max="4" width="23" customWidth="1"/>
    <col min="7" max="7" width="9" style="2"/>
  </cols>
  <sheetData>
    <row r="1" spans="1:33">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row>
    <row r="2" spans="1:33">
      <c r="A2">
        <v>1</v>
      </c>
      <c r="B2">
        <v>1</v>
      </c>
      <c r="C2" t="str">
        <f>INDEX(TextData!B:B,MATCH(B2,TextData!A:A))</f>
        <v>ミカ</v>
      </c>
      <c r="D2" t="str">
        <f>INDEX(TextData!C:C,MATCH(B2,TextData!A:A))</f>
        <v>【煉獄棘姫】</v>
      </c>
      <c r="E2">
        <v>1</v>
      </c>
      <c r="F2">
        <v>1</v>
      </c>
      <c r="G2" s="2" t="s">
        <v>32</v>
      </c>
      <c r="H2">
        <v>1</v>
      </c>
      <c r="I2">
        <v>99</v>
      </c>
      <c r="J2">
        <v>39</v>
      </c>
      <c r="K2">
        <v>0</v>
      </c>
      <c r="L2">
        <v>30</v>
      </c>
      <c r="M2">
        <v>15</v>
      </c>
      <c r="N2">
        <v>15</v>
      </c>
      <c r="O2">
        <v>55</v>
      </c>
      <c r="P2">
        <v>0</v>
      </c>
      <c r="Q2">
        <v>60</v>
      </c>
      <c r="R2">
        <v>30</v>
      </c>
      <c r="S2">
        <v>35</v>
      </c>
      <c r="T2">
        <v>1</v>
      </c>
      <c r="U2">
        <v>2</v>
      </c>
      <c r="V2">
        <v>6</v>
      </c>
      <c r="W2">
        <v>3</v>
      </c>
      <c r="X2">
        <v>6</v>
      </c>
      <c r="Y2">
        <v>-10</v>
      </c>
      <c r="Z2">
        <v>-54</v>
      </c>
      <c r="AA2">
        <v>0.75</v>
      </c>
      <c r="AB2">
        <v>0</v>
      </c>
      <c r="AC2">
        <v>0</v>
      </c>
      <c r="AD2">
        <v>1</v>
      </c>
      <c r="AE2">
        <v>0</v>
      </c>
      <c r="AF2">
        <v>0</v>
      </c>
      <c r="AG2">
        <v>0</v>
      </c>
    </row>
    <row r="3" spans="1:33">
      <c r="A3">
        <v>2</v>
      </c>
      <c r="B3">
        <v>2</v>
      </c>
      <c r="C3" t="str">
        <f>INDEX(TextData!B:B,MATCH(B3,TextData!A:A))</f>
        <v>エリザベート</v>
      </c>
      <c r="D3" t="str">
        <f>INDEX(TextData!C:C,MATCH(B3,TextData!A:A))</f>
        <v>【ChargeCommander】</v>
      </c>
      <c r="E3">
        <v>2</v>
      </c>
      <c r="F3">
        <v>1</v>
      </c>
      <c r="G3" s="2" t="s">
        <v>33</v>
      </c>
      <c r="H3">
        <v>1</v>
      </c>
      <c r="I3">
        <v>99</v>
      </c>
      <c r="J3">
        <v>29</v>
      </c>
      <c r="K3">
        <v>0</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row>
    <row r="4" spans="1:33">
      <c r="A4">
        <v>3</v>
      </c>
      <c r="B4">
        <v>3</v>
      </c>
      <c r="C4" t="str">
        <f>INDEX(TextData!B:B,MATCH(B4,TextData!A:A))</f>
        <v>アリエス</v>
      </c>
      <c r="D4" t="str">
        <f>INDEX(TextData!C:C,MATCH(B4,TextData!A:A))</f>
        <v>【怠惰な守護少女】</v>
      </c>
      <c r="E4">
        <v>3</v>
      </c>
      <c r="F4">
        <v>2</v>
      </c>
      <c r="G4" s="2" t="s">
        <v>34</v>
      </c>
      <c r="H4">
        <v>1</v>
      </c>
      <c r="I4">
        <v>99</v>
      </c>
      <c r="J4">
        <v>35</v>
      </c>
      <c r="K4">
        <v>0</v>
      </c>
      <c r="L4">
        <v>17</v>
      </c>
      <c r="M4">
        <v>17</v>
      </c>
      <c r="N4">
        <v>9</v>
      </c>
      <c r="O4">
        <v>85</v>
      </c>
      <c r="P4">
        <v>0</v>
      </c>
      <c r="Q4">
        <v>25</v>
      </c>
      <c r="R4">
        <v>50</v>
      </c>
      <c r="S4">
        <v>25</v>
      </c>
      <c r="T4">
        <v>3</v>
      </c>
      <c r="U4">
        <v>6</v>
      </c>
      <c r="V4">
        <v>1</v>
      </c>
      <c r="W4">
        <v>2</v>
      </c>
      <c r="X4">
        <v>6</v>
      </c>
      <c r="Y4">
        <v>-10</v>
      </c>
      <c r="Z4">
        <v>-64</v>
      </c>
      <c r="AA4">
        <v>0.82</v>
      </c>
      <c r="AB4">
        <v>0</v>
      </c>
      <c r="AC4">
        <v>0</v>
      </c>
      <c r="AD4">
        <v>1</v>
      </c>
      <c r="AE4">
        <v>0</v>
      </c>
      <c r="AF4">
        <v>0</v>
      </c>
      <c r="AG4">
        <v>0</v>
      </c>
    </row>
    <row r="5" spans="1:33">
      <c r="A5">
        <v>4</v>
      </c>
      <c r="B5">
        <v>4</v>
      </c>
      <c r="C5" t="str">
        <f>INDEX(TextData!B:B,MATCH(B5,TextData!A:A))</f>
        <v>シイナ</v>
      </c>
      <c r="D5" t="str">
        <f>INDEX(TextData!C:C,MATCH(B5,TextData!A:A))</f>
        <v>【イノセント・リメディ】</v>
      </c>
      <c r="E5">
        <v>4</v>
      </c>
      <c r="F5">
        <v>4</v>
      </c>
      <c r="G5" s="2" t="s">
        <v>35</v>
      </c>
      <c r="H5">
        <v>1</v>
      </c>
      <c r="I5">
        <v>99</v>
      </c>
      <c r="J5">
        <v>32</v>
      </c>
      <c r="K5">
        <v>0</v>
      </c>
      <c r="L5">
        <v>15</v>
      </c>
      <c r="M5">
        <v>7</v>
      </c>
      <c r="N5">
        <v>21</v>
      </c>
      <c r="O5">
        <v>85</v>
      </c>
      <c r="P5">
        <v>0</v>
      </c>
      <c r="Q5">
        <v>35</v>
      </c>
      <c r="R5">
        <v>15</v>
      </c>
      <c r="S5">
        <v>30</v>
      </c>
      <c r="T5">
        <v>4</v>
      </c>
      <c r="U5">
        <v>3</v>
      </c>
      <c r="V5">
        <v>3</v>
      </c>
      <c r="W5">
        <v>1</v>
      </c>
      <c r="X5">
        <v>7</v>
      </c>
      <c r="Y5">
        <v>-4</v>
      </c>
      <c r="Z5">
        <v>-68</v>
      </c>
      <c r="AA5">
        <v>0.8</v>
      </c>
      <c r="AB5">
        <v>0</v>
      </c>
      <c r="AC5">
        <v>0</v>
      </c>
      <c r="AD5">
        <v>1</v>
      </c>
      <c r="AE5">
        <v>0</v>
      </c>
      <c r="AF5">
        <v>0</v>
      </c>
      <c r="AG5">
        <v>0</v>
      </c>
    </row>
    <row r="6" spans="1:33">
      <c r="A6">
        <v>5</v>
      </c>
      <c r="B6">
        <v>5</v>
      </c>
      <c r="C6" t="str">
        <f>INDEX(TextData!B:B,MATCH(B6,TextData!A:A))</f>
        <v>レダ</v>
      </c>
      <c r="D6" t="str">
        <f>INDEX(TextData!C:C,MATCH(B6,TextData!A:A))</f>
        <v>【Self-sacrifice】</v>
      </c>
      <c r="E6">
        <v>5</v>
      </c>
      <c r="F6">
        <v>5</v>
      </c>
      <c r="G6" s="2" t="s">
        <v>36</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row>
    <row r="7" spans="1:33">
      <c r="A7">
        <v>6</v>
      </c>
      <c r="B7">
        <v>6</v>
      </c>
      <c r="C7" t="str">
        <f>INDEX(TextData!B:B,MATCH(B7,TextData!A:A))</f>
        <v>リシェリ</v>
      </c>
      <c r="D7" t="str">
        <f>INDEX(TextData!C:C,MATCH(B7,TextData!A:A))</f>
        <v>【Faked-Magician】</v>
      </c>
      <c r="E7">
        <v>6</v>
      </c>
      <c r="F7">
        <v>3</v>
      </c>
      <c r="G7" s="2" t="s">
        <v>37</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row>
    <row r="8" spans="1:33">
      <c r="A8">
        <v>7</v>
      </c>
      <c r="B8">
        <v>7</v>
      </c>
      <c r="C8" t="str">
        <f>INDEX(TextData!B:B,MATCH(B8,TextData!A:A))</f>
        <v>ユニ</v>
      </c>
      <c r="D8" t="str">
        <f>INDEX(TextData!C:C,MATCH(B8,TextData!A:A))</f>
        <v>【奇跡の乙女】</v>
      </c>
      <c r="E8">
        <v>7</v>
      </c>
      <c r="F8">
        <v>3</v>
      </c>
      <c r="G8" s="2" t="s">
        <v>38</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row>
    <row r="9" spans="1:33">
      <c r="A9">
        <v>8</v>
      </c>
      <c r="B9">
        <v>8</v>
      </c>
      <c r="C9" t="str">
        <f>INDEX(TextData!B:B,MATCH(B9,TextData!A:A))</f>
        <v>マリーベル</v>
      </c>
      <c r="D9" t="str">
        <f>INDEX(TextData!C:C,MATCH(B9,TextData!A:A))</f>
        <v>【唯心の在処】</v>
      </c>
      <c r="E9">
        <v>8</v>
      </c>
      <c r="F9">
        <v>2</v>
      </c>
      <c r="G9" s="2" t="s">
        <v>39</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row>
    <row r="10" spans="1:33">
      <c r="A10">
        <v>9</v>
      </c>
      <c r="B10">
        <v>9</v>
      </c>
      <c r="C10" t="str">
        <f>INDEX(TextData!B:B,MATCH(B10,TextData!A:A))</f>
        <v>ナツキ</v>
      </c>
      <c r="D10" t="str">
        <f>INDEX(TextData!C:C,MATCH(B10,TextData!A:A))</f>
        <v>【黄昏ニヒリスト】</v>
      </c>
      <c r="E10">
        <v>9</v>
      </c>
      <c r="F10">
        <v>1</v>
      </c>
      <c r="G10" s="2" t="s">
        <v>40</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row>
    <row r="11" spans="1:33">
      <c r="A11">
        <v>10</v>
      </c>
      <c r="B11">
        <v>10</v>
      </c>
      <c r="C11" t="str">
        <f>INDEX(TextData!B:B,MATCH(B11,TextData!A:A))</f>
        <v>メリアドール</v>
      </c>
      <c r="D11" t="str">
        <f>INDEX(TextData!C:C,MATCH(B11,TextData!A:A))</f>
        <v>【怨嗟の鎖】</v>
      </c>
      <c r="E11">
        <v>10</v>
      </c>
      <c r="F11">
        <v>5</v>
      </c>
      <c r="G11" s="2" t="s">
        <v>41</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row>
    <row r="12" spans="1:33">
      <c r="A12">
        <v>11</v>
      </c>
      <c r="B12">
        <v>11</v>
      </c>
      <c r="C12" t="str">
        <f>INDEX(TextData!B:B,MATCH(B12,TextData!A:A))</f>
        <v>セリナ</v>
      </c>
      <c r="D12" t="str">
        <f>INDEX(TextData!C:C,MATCH(B12,TextData!A:A))</f>
        <v>【氷雪の勿忘草】</v>
      </c>
      <c r="E12">
        <v>11</v>
      </c>
      <c r="F12">
        <v>1</v>
      </c>
      <c r="G12" s="2" t="s">
        <v>42</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16" workbookViewId="0">
      <selection activeCell="B18" sqref="B18"/>
    </sheetView>
  </sheetViews>
  <sheetFormatPr defaultColWidth="8.72727272727273" defaultRowHeight="13" outlineLevelCol="2"/>
  <cols>
    <col min="2" max="2" width="44.2727272727273" customWidth="1"/>
  </cols>
  <sheetData>
    <row r="1" spans="1:3">
      <c r="A1" t="s">
        <v>43</v>
      </c>
      <c r="B1" t="s">
        <v>44</v>
      </c>
      <c r="C1" t="s">
        <v>45</v>
      </c>
    </row>
    <row r="2" spans="1:3">
      <c r="A2">
        <v>1</v>
      </c>
      <c r="B2" t="s">
        <v>46</v>
      </c>
      <c r="C2">
        <v>0</v>
      </c>
    </row>
    <row r="3" spans="1:3">
      <c r="A3">
        <v>1</v>
      </c>
      <c r="B3">
        <v>11060</v>
      </c>
      <c r="C3">
        <v>11</v>
      </c>
    </row>
    <row r="4" spans="1:3">
      <c r="A4">
        <v>1</v>
      </c>
      <c r="B4">
        <v>401060</v>
      </c>
      <c r="C4">
        <v>26</v>
      </c>
    </row>
    <row r="5" spans="1:3">
      <c r="A5">
        <v>1</v>
      </c>
      <c r="B5">
        <v>1020</v>
      </c>
      <c r="C5">
        <v>41</v>
      </c>
    </row>
    <row r="6" spans="1:2">
      <c r="A6">
        <v>2</v>
      </c>
      <c r="B6" t="s">
        <v>47</v>
      </c>
    </row>
    <row r="7" spans="1:3">
      <c r="A7">
        <v>2</v>
      </c>
      <c r="B7">
        <v>12080</v>
      </c>
      <c r="C7">
        <v>11</v>
      </c>
    </row>
    <row r="8" spans="1:3">
      <c r="A8">
        <v>2</v>
      </c>
      <c r="B8">
        <v>12040</v>
      </c>
      <c r="C8">
        <v>26</v>
      </c>
    </row>
    <row r="9" spans="1:3">
      <c r="A9">
        <v>2</v>
      </c>
      <c r="B9">
        <v>2060</v>
      </c>
      <c r="C9">
        <v>41</v>
      </c>
    </row>
    <row r="10" spans="1:2">
      <c r="A10">
        <v>3</v>
      </c>
      <c r="B10" t="s">
        <v>48</v>
      </c>
    </row>
    <row r="11" spans="1:3">
      <c r="A11">
        <v>3</v>
      </c>
      <c r="B11">
        <v>13080</v>
      </c>
      <c r="C11">
        <v>11</v>
      </c>
    </row>
    <row r="12" spans="1:3">
      <c r="A12">
        <v>3</v>
      </c>
      <c r="B12">
        <v>403010</v>
      </c>
      <c r="C12">
        <v>26</v>
      </c>
    </row>
    <row r="13" spans="1:3">
      <c r="A13">
        <v>3</v>
      </c>
      <c r="B13">
        <v>3040</v>
      </c>
      <c r="C13">
        <v>41</v>
      </c>
    </row>
    <row r="14" spans="1:2">
      <c r="A14">
        <v>4</v>
      </c>
      <c r="B14" t="s">
        <v>49</v>
      </c>
    </row>
    <row r="15" spans="1:3">
      <c r="A15">
        <v>4</v>
      </c>
      <c r="B15">
        <v>14080</v>
      </c>
      <c r="C15">
        <v>11</v>
      </c>
    </row>
    <row r="16" spans="1:3">
      <c r="A16">
        <v>4</v>
      </c>
      <c r="B16">
        <v>404030</v>
      </c>
      <c r="C16">
        <v>26</v>
      </c>
    </row>
    <row r="17" spans="1:3">
      <c r="A17">
        <v>4</v>
      </c>
      <c r="B17">
        <v>4060</v>
      </c>
      <c r="C17">
        <v>41</v>
      </c>
    </row>
    <row r="18" spans="1:2">
      <c r="A18">
        <v>5</v>
      </c>
      <c r="B18" t="s">
        <v>50</v>
      </c>
    </row>
    <row r="19" spans="1:3">
      <c r="A19">
        <v>5</v>
      </c>
      <c r="B19">
        <v>15090</v>
      </c>
      <c r="C19">
        <v>11</v>
      </c>
    </row>
    <row r="20" spans="1:3">
      <c r="A20">
        <v>5</v>
      </c>
      <c r="B20">
        <v>405070</v>
      </c>
      <c r="C20">
        <v>26</v>
      </c>
    </row>
    <row r="21" spans="1:3">
      <c r="A21">
        <v>5</v>
      </c>
      <c r="B21">
        <v>5040</v>
      </c>
      <c r="C21">
        <v>41</v>
      </c>
    </row>
    <row r="22" spans="1:2">
      <c r="A22">
        <v>6</v>
      </c>
      <c r="B22" t="s">
        <v>51</v>
      </c>
    </row>
    <row r="23" spans="1:3">
      <c r="A23">
        <v>6</v>
      </c>
      <c r="B23">
        <v>11040</v>
      </c>
      <c r="C23">
        <v>11</v>
      </c>
    </row>
    <row r="24" spans="1:3">
      <c r="A24">
        <v>6</v>
      </c>
      <c r="B24">
        <v>401030</v>
      </c>
      <c r="C24">
        <v>26</v>
      </c>
    </row>
    <row r="25" spans="1:3">
      <c r="A25">
        <v>6</v>
      </c>
      <c r="B25">
        <v>1070</v>
      </c>
      <c r="C25">
        <v>41</v>
      </c>
    </row>
    <row r="26" spans="1:2">
      <c r="A26">
        <v>7</v>
      </c>
      <c r="B26" t="s">
        <v>52</v>
      </c>
    </row>
    <row r="27" spans="1:3">
      <c r="A27">
        <v>7</v>
      </c>
      <c r="B27">
        <v>12090</v>
      </c>
      <c r="C27">
        <v>11</v>
      </c>
    </row>
    <row r="28" spans="1:3">
      <c r="A28">
        <v>7</v>
      </c>
      <c r="B28">
        <v>412090</v>
      </c>
      <c r="C28">
        <v>26</v>
      </c>
    </row>
    <row r="29" spans="1:3">
      <c r="A29">
        <v>7</v>
      </c>
      <c r="B29">
        <v>2050</v>
      </c>
      <c r="C29">
        <v>41</v>
      </c>
    </row>
    <row r="30" spans="1:2">
      <c r="A30">
        <v>8</v>
      </c>
      <c r="B30" t="s">
        <v>53</v>
      </c>
    </row>
    <row r="31" spans="1:3">
      <c r="A31">
        <v>8</v>
      </c>
      <c r="B31">
        <v>13060</v>
      </c>
      <c r="C31">
        <v>11</v>
      </c>
    </row>
    <row r="32" spans="1:3">
      <c r="A32">
        <v>8</v>
      </c>
      <c r="B32">
        <v>403070</v>
      </c>
      <c r="C32">
        <v>26</v>
      </c>
    </row>
    <row r="33" spans="1:3">
      <c r="A33">
        <v>8</v>
      </c>
      <c r="B33">
        <v>3060</v>
      </c>
      <c r="C33">
        <v>41</v>
      </c>
    </row>
    <row r="34" spans="1:2">
      <c r="A34">
        <v>9</v>
      </c>
      <c r="B34" t="s">
        <v>54</v>
      </c>
    </row>
    <row r="35" spans="1:3">
      <c r="A35">
        <v>9</v>
      </c>
      <c r="B35">
        <v>11070</v>
      </c>
      <c r="C35">
        <v>11</v>
      </c>
    </row>
    <row r="36" spans="1:3">
      <c r="A36">
        <v>9</v>
      </c>
      <c r="B36">
        <v>401050</v>
      </c>
      <c r="C36">
        <v>26</v>
      </c>
    </row>
    <row r="37" spans="1:3">
      <c r="A37">
        <v>9</v>
      </c>
      <c r="B37">
        <v>1080</v>
      </c>
      <c r="C37">
        <v>41</v>
      </c>
    </row>
    <row r="38" spans="1:2">
      <c r="A38">
        <v>10</v>
      </c>
      <c r="B38" t="s">
        <v>55</v>
      </c>
    </row>
    <row r="39" spans="1:3">
      <c r="A39">
        <v>10</v>
      </c>
      <c r="B39">
        <v>12010</v>
      </c>
      <c r="C39">
        <v>11</v>
      </c>
    </row>
    <row r="40" spans="1:3">
      <c r="A40">
        <v>10</v>
      </c>
      <c r="B40">
        <v>402030</v>
      </c>
      <c r="C40">
        <v>26</v>
      </c>
    </row>
    <row r="41" spans="1:3">
      <c r="A41">
        <v>10</v>
      </c>
      <c r="B41">
        <v>2080</v>
      </c>
      <c r="C41">
        <v>41</v>
      </c>
    </row>
    <row r="42" spans="1:2">
      <c r="A42">
        <v>11</v>
      </c>
      <c r="B42" t="s">
        <v>56</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43</v>
      </c>
      <c r="B1" t="s">
        <v>44</v>
      </c>
      <c r="C1" t="s">
        <v>57</v>
      </c>
      <c r="D1" t="s">
        <v>58</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6" workbookViewId="0">
      <selection activeCell="D12" sqref="D12"/>
    </sheetView>
  </sheetViews>
  <sheetFormatPr defaultColWidth="8.72727272727273" defaultRowHeight="13" outlineLevelCol="3"/>
  <cols>
    <col min="3" max="3" width="20.5454545454545" customWidth="1"/>
    <col min="4" max="4" width="45.1818181818182" customWidth="1"/>
  </cols>
  <sheetData>
    <row r="1" spans="1:4">
      <c r="A1" t="s">
        <v>0</v>
      </c>
      <c r="B1" t="s">
        <v>59</v>
      </c>
      <c r="C1" t="s">
        <v>60</v>
      </c>
      <c r="D1" t="s">
        <v>61</v>
      </c>
    </row>
    <row r="2" ht="39" spans="1:4">
      <c r="A2">
        <v>1</v>
      </c>
      <c r="B2" t="s">
        <v>62</v>
      </c>
      <c r="C2" t="s">
        <v>63</v>
      </c>
      <c r="D2" s="1" t="s">
        <v>64</v>
      </c>
    </row>
    <row r="3" ht="39" spans="1:4">
      <c r="A3">
        <v>2</v>
      </c>
      <c r="B3" t="s">
        <v>65</v>
      </c>
      <c r="C3" t="s">
        <v>66</v>
      </c>
      <c r="D3" s="1" t="s">
        <v>67</v>
      </c>
    </row>
    <row r="4" ht="39" spans="1:4">
      <c r="A4">
        <v>3</v>
      </c>
      <c r="B4" t="s">
        <v>68</v>
      </c>
      <c r="C4" t="s">
        <v>69</v>
      </c>
      <c r="D4" s="1" t="s">
        <v>70</v>
      </c>
    </row>
    <row r="5" ht="39" spans="1:4">
      <c r="A5">
        <v>4</v>
      </c>
      <c r="B5" t="s">
        <v>71</v>
      </c>
      <c r="C5" t="s">
        <v>72</v>
      </c>
      <c r="D5" s="1" t="s">
        <v>73</v>
      </c>
    </row>
    <row r="6" ht="52" spans="1:4">
      <c r="A6">
        <v>5</v>
      </c>
      <c r="B6" t="s">
        <v>74</v>
      </c>
      <c r="C6" t="s">
        <v>75</v>
      </c>
      <c r="D6" s="1" t="s">
        <v>76</v>
      </c>
    </row>
    <row r="7" ht="39" spans="1:4">
      <c r="A7">
        <v>6</v>
      </c>
      <c r="B7" t="s">
        <v>77</v>
      </c>
      <c r="C7" t="s">
        <v>78</v>
      </c>
      <c r="D7" s="1" t="s">
        <v>79</v>
      </c>
    </row>
    <row r="8" ht="52" spans="1:4">
      <c r="A8">
        <v>7</v>
      </c>
      <c r="B8" t="s">
        <v>80</v>
      </c>
      <c r="C8" t="s">
        <v>81</v>
      </c>
      <c r="D8" s="1" t="s">
        <v>82</v>
      </c>
    </row>
    <row r="9" ht="52" spans="1:4">
      <c r="A9">
        <v>8</v>
      </c>
      <c r="B9" t="s">
        <v>83</v>
      </c>
      <c r="C9" t="s">
        <v>84</v>
      </c>
      <c r="D9" s="1" t="s">
        <v>85</v>
      </c>
    </row>
    <row r="10" ht="39" spans="1:4">
      <c r="A10">
        <v>9</v>
      </c>
      <c r="B10" t="s">
        <v>86</v>
      </c>
      <c r="C10" t="s">
        <v>87</v>
      </c>
      <c r="D10" s="1" t="s">
        <v>88</v>
      </c>
    </row>
    <row r="11" ht="39" spans="1:4">
      <c r="A11">
        <v>10</v>
      </c>
      <c r="B11" t="s">
        <v>89</v>
      </c>
      <c r="C11" t="s">
        <v>90</v>
      </c>
      <c r="D11" s="1" t="s">
        <v>91</v>
      </c>
    </row>
    <row r="12" ht="52" spans="1:4">
      <c r="A12">
        <v>11</v>
      </c>
      <c r="B12" t="s">
        <v>92</v>
      </c>
      <c r="C12" t="s">
        <v>93</v>
      </c>
      <c r="D12" s="1" t="s">
        <v>94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2024-10-31T13:49:57Z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