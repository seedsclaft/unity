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<sst xmlns="http://schemas.openxmlformats.org/spreadsheetml/2006/main" count="831" uniqueCount="723">
  <si>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</si>
  <si>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</si>
  <si>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</si>
  <si>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</si>
  <si>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</si>
  <si>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</si>
  <si>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</si>
  <si>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</si>
  <si>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</si>
  <si>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</si>
  <si>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</si>
  <si>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</si>
  <si>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</si>
  <si>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</si>
  <si>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</si>
  <si>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</si>
  <si>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</si>
  <si>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</si>
  <si>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</si>
  <si>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</si>
  <si>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</si>
  <si>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</si>
  <si>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</si>
  <si>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</si>
  <si>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</si>
  <si>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</si>
  <si>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</si>
  <si>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</si>
  <si>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</si>
  <si>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</si>
  <si>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</si>
  <si>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</si>
  <si>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</si>
  <si>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</si>
  <si>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</si>
  <si>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</si>
  <si>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</si>
  <si>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</si>
  <si>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</si>
  <si>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</si>
  <si>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</si>
  <si>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</si>
  <si>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</si>
  <si>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</si>
  <si>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</si>
  <si>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</si>
  <si>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</si>
  <si>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</si>
  <si>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</si>
  <si>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</si>
  <si>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</si>
  <si>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</si>
  <si>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</si>
  <si>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</si>
  <si>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</si>
  <si>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</si>
  <si>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</si>
  <si>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</si>
  <si>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</si>
  <si>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</si>
  <si>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</si>
  <si>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</si>
  <si>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</si>
  <si>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</si>
  <si>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</si>
  <si>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</si>
  <si>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</si>
  <si>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</si>
  <si>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</si>
  <si>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</si>
  <si>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</si>
  <si>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</si>
  <si>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</si>
  <si>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</si>
  <si>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</si>
  <si>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</si>
  <si>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</si>
  <si>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</si>
  <si>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</si>
  <si>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</si>
  <si>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</si>
  <si>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</si>
  <si>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フリーズランサー</t>
  </si>
  <si>
    <t>\sにATKx/f[f,0,1]%2連ダメージ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</si>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</sst>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0" fillId="0" borderId="1" applyNumberFormat="0" applyFill="0" applyAlignment="0" applyProtection="0">
      <alignment vertical="center"/>
    </xf>
    <xf numFmtId="0" fontId="18" fillId="19" borderId="2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9"/>
  <sheetViews>
    <sheetView tabSelected="1" workbookViewId="0">
      <pane ySplit="1" topLeftCell="A29" activePane="bottomLeft" state="frozen"/>
      <selection/>
      <selection pane="bottomLeft" activeCell="I35" sqref="I3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G3">
        <v>0</v>
      </c>
      <c r="H3" t="str">
        <f>INDEX(Define!B:B,MATCH(G3,Define!A:A))</f>
        <v>なし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0</v>
      </c>
      <c r="N3" t="str">
        <f>INDEX(Define!H:H,MATCH(M3,Define!G:G))</f>
        <v>なし</v>
      </c>
      <c r="O3">
        <v>0</v>
      </c>
      <c r="P3" t="str">
        <f>INDEX(Define!K:K,MATCH(O3,Define!J:J))</f>
        <v>なし</v>
      </c>
      <c r="Q3">
        <v>0</v>
      </c>
      <c r="R3" t="str">
        <f>INDEX(Define!N:N,MATCH(Q3,Define!M:M))</f>
        <v>なし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spans="1:22">
      <c r="A35">
        <v>3110</v>
      </c>
      <c r="B35">
        <v>3110</v>
      </c>
      <c r="C35" t="str">
        <f>INDEX(TextData!B:B,MATCH(B35,TextData!A:A))</f>
        <v>フリーズランサー</v>
      </c>
      <c r="D35">
        <v>1</v>
      </c>
      <c r="E35" t="str">
        <f>INDEX(Define!X:X,MATCH(D35,Define!W:W))</f>
        <v>元素</v>
      </c>
      <c r="F35">
        <v>301</v>
      </c>
      <c r="G35">
        <v>1</v>
      </c>
      <c r="H35" t="str">
        <f>INDEX(Define!B:B,MATCH(G35,Define!A:A))</f>
        <v>単体</v>
      </c>
      <c r="I35">
        <v>2</v>
      </c>
      <c r="J35">
        <v>2</v>
      </c>
      <c r="K35">
        <v>3</v>
      </c>
      <c r="L35" t="str">
        <f>INDEX(Define!E:E,MATCH(K35,Define!D:D))</f>
        <v>氷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2</v>
      </c>
      <c r="U35">
        <v>1</v>
      </c>
      <c r="V35" s="5">
        <v>0</v>
      </c>
    </row>
    <row r="36" ht="12" customHeight="1" spans="1:22">
      <c r="A36">
        <v>4010</v>
      </c>
      <c r="B36">
        <v>4010</v>
      </c>
      <c r="C36" t="str">
        <f>INDEX(TextData!B:B,MATCH(B36,TextData!A:A))</f>
        <v>セイントレーザー</v>
      </c>
      <c r="D36">
        <v>1</v>
      </c>
      <c r="E36" t="str">
        <f>INDEX(Define!X:X,MATCH(D36,Define!W:W))</f>
        <v>元素</v>
      </c>
      <c r="F36">
        <v>401</v>
      </c>
      <c r="G36">
        <v>1</v>
      </c>
      <c r="H36" t="str">
        <f>INDEX(Define!B:B,MATCH(G36,Define!A:A))</f>
        <v>単体</v>
      </c>
      <c r="I36">
        <v>0</v>
      </c>
      <c r="J36">
        <v>1</v>
      </c>
      <c r="K36">
        <v>4</v>
      </c>
      <c r="L36" t="str">
        <f>INDEX(Define!E:E,MATCH(K36,Define!D:D))</f>
        <v>光</v>
      </c>
      <c r="M36">
        <v>1</v>
      </c>
      <c r="N36" t="str">
        <f>INDEX(Define!H:H,MATCH(M36,Define!G:G))</f>
        <v>魔法</v>
      </c>
      <c r="O36">
        <v>1</v>
      </c>
      <c r="P36" t="str">
        <f>INDEX(Define!K:K,MATCH(O36,Define!J:J))</f>
        <v>相手</v>
      </c>
      <c r="Q36">
        <v>1</v>
      </c>
      <c r="R36" t="str">
        <f>INDEX(Define!N:N,MATCH(Q36,Define!M:M))</f>
        <v>単体</v>
      </c>
      <c r="S36">
        <v>1</v>
      </c>
      <c r="T36">
        <v>1</v>
      </c>
      <c r="U36">
        <v>1</v>
      </c>
      <c r="V36" s="5">
        <v>0</v>
      </c>
    </row>
    <row r="37" s="5" customFormat="1" ht="12" customHeight="1" spans="1:22">
      <c r="A37" s="5">
        <v>4020</v>
      </c>
      <c r="B37" s="5">
        <v>4020</v>
      </c>
      <c r="C37" s="5" t="str">
        <f>INDEX(TextData!B:B,MATCH(B37,TextData!A:A))</f>
        <v>ペネトレイト</v>
      </c>
      <c r="D37" s="5">
        <v>1</v>
      </c>
      <c r="E37" s="5" t="str">
        <f>INDEX(Define!X:X,MATCH(D37,Define!W:W))</f>
        <v>元素</v>
      </c>
      <c r="F37" s="5">
        <v>401</v>
      </c>
      <c r="G37" s="5">
        <v>1</v>
      </c>
      <c r="H37" s="5" t="str">
        <f>INDEX(Define!B:B,MATCH(G37,Define!A:A))</f>
        <v>単体</v>
      </c>
      <c r="I37" s="5">
        <v>0</v>
      </c>
      <c r="J37" s="5">
        <v>2</v>
      </c>
      <c r="K37" s="5">
        <v>4</v>
      </c>
      <c r="L37" s="5" t="str">
        <f>INDEX(Define!E:E,MATCH(K37,Define!D:D))</f>
        <v>光</v>
      </c>
      <c r="M37" s="5">
        <v>1</v>
      </c>
      <c r="N37" s="5" t="str">
        <f>INDEX(Define!H:H,MATCH(M37,Define!G:G))</f>
        <v>魔法</v>
      </c>
      <c r="O37" s="5">
        <v>1</v>
      </c>
      <c r="P37" s="5" t="str">
        <f>INDEX(Define!K:K,MATCH(O37,Define!J:J))</f>
        <v>相手</v>
      </c>
      <c r="Q37" s="5">
        <v>1</v>
      </c>
      <c r="R37" s="5" t="str">
        <f>INDEX(Define!N:N,MATCH(Q37,Define!M:M))</f>
        <v>単体</v>
      </c>
      <c r="S37" s="5">
        <v>1</v>
      </c>
      <c r="T37" s="5">
        <v>1</v>
      </c>
      <c r="U37" s="5">
        <v>1</v>
      </c>
      <c r="V37" s="5">
        <v>0</v>
      </c>
    </row>
    <row r="38" ht="12" customHeight="1" spans="1:22">
      <c r="A38">
        <v>4030</v>
      </c>
      <c r="B38">
        <v>4030</v>
      </c>
      <c r="C38" t="str">
        <f>INDEX(TextData!B:B,MATCH(B38,TextData!A:A))</f>
        <v>ヒーリング</v>
      </c>
      <c r="D38">
        <v>2</v>
      </c>
      <c r="E38" t="str">
        <f>INDEX(Define!X:X,MATCH(D38,Define!W:W))</f>
        <v>光</v>
      </c>
      <c r="F38">
        <v>21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3</v>
      </c>
      <c r="P38" t="str">
        <f>INDEX(Define!K:K,MATCH(O38,Define!J:J))</f>
        <v>全員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customFormat="1" spans="1:22">
      <c r="A39">
        <v>4040</v>
      </c>
      <c r="B39">
        <v>4040</v>
      </c>
      <c r="C39" t="str">
        <f>INDEX(TextData!B:B,MATCH(B39,TextData!A:A))</f>
        <v>リザイアフォトン</v>
      </c>
      <c r="D39">
        <v>2</v>
      </c>
      <c r="E39" t="str">
        <f>INDEX(Define!X:X,MATCH(D39,Define!W:W))</f>
        <v>光</v>
      </c>
      <c r="F39">
        <v>401</v>
      </c>
      <c r="G39">
        <v>1</v>
      </c>
      <c r="H39" t="str">
        <f>INDEX(Define!B:B,MATCH(G39,Define!A:A))</f>
        <v>単体</v>
      </c>
      <c r="I39">
        <v>3</v>
      </c>
      <c r="J39">
        <v>2</v>
      </c>
      <c r="K39">
        <v>4</v>
      </c>
      <c r="L39" t="str">
        <f>INDEX(Define!E:E,MATCH(K39,Define!D:D))</f>
        <v>光</v>
      </c>
      <c r="M39">
        <v>1</v>
      </c>
      <c r="N39" t="str">
        <f>INDEX(Define!H:H,MATCH(M39,Define!G:G))</f>
        <v>魔法</v>
      </c>
      <c r="O39">
        <v>1</v>
      </c>
      <c r="P39" t="str">
        <f>INDEX(Define!K:K,MATCH(O39,Define!J:J))</f>
        <v>相手</v>
      </c>
      <c r="Q39">
        <v>1</v>
      </c>
      <c r="R39" t="str">
        <f>INDEX(Define!N:N,MATCH(Q39,Define!M:M))</f>
        <v>単体</v>
      </c>
      <c r="S39">
        <v>1</v>
      </c>
      <c r="T39">
        <v>1</v>
      </c>
      <c r="U39">
        <v>1</v>
      </c>
      <c r="V39" s="5">
        <v>0</v>
      </c>
    </row>
    <row r="40" s="5" customFormat="1" ht="12" customHeight="1" spans="1:22">
      <c r="A40" s="5">
        <v>4050</v>
      </c>
      <c r="B40" s="5">
        <v>4050</v>
      </c>
      <c r="C40" s="5" t="str">
        <f>INDEX(TextData!B:B,MATCH(B40,TextData!A:A))</f>
        <v>べネディクション</v>
      </c>
      <c r="D40" s="5">
        <v>2</v>
      </c>
      <c r="E40" s="5" t="str">
        <f>INDEX(Define!X:X,MATCH(D40,Define!W:W))</f>
        <v>光</v>
      </c>
      <c r="F40" s="5">
        <v>21</v>
      </c>
      <c r="G40" s="5">
        <v>1</v>
      </c>
      <c r="H40" s="5" t="str">
        <f>INDEX(Define!B:B,MATCH(G40,Define!A:A))</f>
        <v>単体</v>
      </c>
      <c r="I40" s="5">
        <v>3</v>
      </c>
      <c r="J40" s="5">
        <v>2</v>
      </c>
      <c r="K40" s="5">
        <v>4</v>
      </c>
      <c r="L40" s="5" t="str">
        <f>INDEX(Define!E:E,MATCH(K40,Define!D:D))</f>
        <v>光</v>
      </c>
      <c r="M40" s="5">
        <v>1</v>
      </c>
      <c r="N40" s="5" t="str">
        <f>INDEX(Define!H:H,MATCH(M40,Define!G:G))</f>
        <v>魔法</v>
      </c>
      <c r="O40" s="5">
        <v>2</v>
      </c>
      <c r="P40" s="5" t="str">
        <f>INDEX(Define!K:K,MATCH(O40,Define!J:J))</f>
        <v>味方</v>
      </c>
      <c r="Q40" s="5">
        <v>13</v>
      </c>
      <c r="R40" s="5" t="str">
        <f>INDEX(Define!N:N,MATCH(Q40,Define!M:M))</f>
        <v>全体・自身を除く</v>
      </c>
      <c r="S40" s="5">
        <v>2</v>
      </c>
      <c r="T40" s="5">
        <v>1</v>
      </c>
      <c r="U40" s="5">
        <v>1</v>
      </c>
      <c r="V40" s="5">
        <v>0</v>
      </c>
    </row>
    <row r="41" spans="1:22">
      <c r="A41">
        <v>4060</v>
      </c>
      <c r="B41">
        <v>4060</v>
      </c>
      <c r="C41" t="str">
        <f>INDEX(TextData!B:B,MATCH(B41,TextData!A:A))</f>
        <v>ホーリーグレイス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7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1</v>
      </c>
      <c r="R41" t="str">
        <f>INDEX(Define!N:N,MATCH(Q41,Define!M:M))</f>
        <v>単体</v>
      </c>
      <c r="S41">
        <v>1</v>
      </c>
      <c r="T41">
        <v>1</v>
      </c>
      <c r="U41">
        <v>0</v>
      </c>
      <c r="V41" s="5">
        <v>0</v>
      </c>
    </row>
    <row r="42" spans="1:22">
      <c r="A42">
        <v>4070</v>
      </c>
      <c r="B42">
        <v>4070</v>
      </c>
      <c r="C42" t="str">
        <f>INDEX(TextData!B:B,MATCH(B42,TextData!A:A))</f>
        <v>キュアエール</v>
      </c>
      <c r="D42">
        <v>2</v>
      </c>
      <c r="E42" t="str">
        <f>INDEX(Define!X:X,MATCH(D42,Define!W:W))</f>
        <v>光</v>
      </c>
      <c r="F42">
        <v>21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spans="1:22">
      <c r="A43">
        <v>4080</v>
      </c>
      <c r="B43">
        <v>4080</v>
      </c>
      <c r="C43" t="str">
        <f>INDEX(TextData!B:B,MATCH(B43,TextData!A:A))</f>
        <v>ラインバリア</v>
      </c>
      <c r="D43">
        <v>2</v>
      </c>
      <c r="E43" t="str">
        <f>INDEX(Define!X:X,MATCH(D43,Define!W:W))</f>
        <v>光</v>
      </c>
      <c r="F43">
        <v>51</v>
      </c>
      <c r="G43">
        <v>1</v>
      </c>
      <c r="H43" t="str">
        <f>INDEX(Define!B:B,MATCH(G43,Define!A:A))</f>
        <v>単体</v>
      </c>
      <c r="I43">
        <v>4</v>
      </c>
      <c r="J43">
        <v>2</v>
      </c>
      <c r="K43">
        <v>4</v>
      </c>
      <c r="L43" t="str">
        <f>INDEX(Define!E:E,MATCH(K43,Define!D:D))</f>
        <v>光</v>
      </c>
      <c r="M43">
        <v>1</v>
      </c>
      <c r="N43" t="str">
        <f>INDEX(Define!H:H,MATCH(M43,Define!G:G))</f>
        <v>魔法</v>
      </c>
      <c r="O43">
        <v>2</v>
      </c>
      <c r="P43" t="str">
        <f>INDEX(Define!K:K,MATCH(O43,Define!J:J))</f>
        <v>味方</v>
      </c>
      <c r="Q43">
        <v>2</v>
      </c>
      <c r="R43" t="str">
        <f>INDEX(Define!N:N,MATCH(Q43,Define!M:M))</f>
        <v>列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5010</v>
      </c>
      <c r="B44">
        <v>5010</v>
      </c>
      <c r="C44" t="str">
        <f>INDEX(TextData!B:B,MATCH(B44,TextData!A:A))</f>
        <v>ダークプリズン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0</v>
      </c>
      <c r="J44">
        <v>1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1</v>
      </c>
      <c r="R44" t="str">
        <f>INDEX(Define!N:N,MATCH(Q44,Define!M:M))</f>
        <v>単体</v>
      </c>
      <c r="S44">
        <v>1</v>
      </c>
      <c r="T44">
        <v>1</v>
      </c>
      <c r="U44">
        <v>1</v>
      </c>
      <c r="V44" s="5">
        <v>0</v>
      </c>
    </row>
    <row r="45" ht="12" customHeight="1" spans="1:22">
      <c r="A45">
        <v>5020</v>
      </c>
      <c r="B45">
        <v>5020</v>
      </c>
      <c r="C45" t="str">
        <f>INDEX(TextData!B:B,MATCH(B45,TextData!A:A))</f>
        <v>ユーサネイジア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3</v>
      </c>
      <c r="R45" t="str">
        <f>INDEX(Define!N:N,MATCH(Q45,Define!M:M))</f>
        <v>全体</v>
      </c>
      <c r="S45">
        <v>2</v>
      </c>
      <c r="T45">
        <v>1</v>
      </c>
      <c r="U45">
        <v>1</v>
      </c>
      <c r="V45" s="5">
        <v>0</v>
      </c>
    </row>
    <row r="46" ht="12" customHeight="1" spans="1:22">
      <c r="A46">
        <v>5030</v>
      </c>
      <c r="B46">
        <v>5030</v>
      </c>
      <c r="C46" t="str">
        <f>INDEX(TextData!B:B,MATCH(B46,TextData!A:A))</f>
        <v>ドレインヒール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5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ht="12" customHeight="1" spans="1:22">
      <c r="A47">
        <v>5040</v>
      </c>
      <c r="B47">
        <v>5040</v>
      </c>
      <c r="C47" t="str">
        <f>INDEX(TextData!B:B,MATCH(B47,TextData!A:A))</f>
        <v>アビサルデスペア</v>
      </c>
      <c r="D47">
        <v>5</v>
      </c>
      <c r="E47" t="str">
        <f>INDEX(Define!X:X,MATCH(D47,Define!W:W))</f>
        <v>超次元</v>
      </c>
      <c r="F47">
        <v>501</v>
      </c>
      <c r="G47">
        <v>1</v>
      </c>
      <c r="H47" t="str">
        <f>INDEX(Define!B:B,MATCH(G47,Define!A:A))</f>
        <v>単体</v>
      </c>
      <c r="I47">
        <v>3</v>
      </c>
      <c r="J47">
        <v>2</v>
      </c>
      <c r="K47">
        <v>5</v>
      </c>
      <c r="L47" t="str">
        <f>INDEX(Define!E:E,MATCH(K47,Define!D:D))</f>
        <v>闇</v>
      </c>
      <c r="M47">
        <v>1</v>
      </c>
      <c r="N47" t="str">
        <f>INDEX(Define!H:H,MATCH(M47,Define!G:G))</f>
        <v>魔法</v>
      </c>
      <c r="O47">
        <v>1</v>
      </c>
      <c r="P47" t="str">
        <f>INDEX(Define!K:K,MATCH(O47,Define!J:J))</f>
        <v>相手</v>
      </c>
      <c r="Q47">
        <v>1</v>
      </c>
      <c r="R47" t="str">
        <f>INDEX(Define!N:N,MATCH(Q47,Define!M:M))</f>
        <v>単体</v>
      </c>
      <c r="S47">
        <v>1</v>
      </c>
      <c r="T47">
        <v>1</v>
      </c>
      <c r="U47">
        <v>1</v>
      </c>
      <c r="V47" s="5">
        <v>0</v>
      </c>
    </row>
    <row r="48" s="5" customFormat="1" ht="12" customHeight="1" spans="1:22">
      <c r="A48" s="5">
        <v>5050</v>
      </c>
      <c r="B48" s="5">
        <v>5050</v>
      </c>
      <c r="C48" s="5" t="str">
        <f>INDEX(TextData!B:B,MATCH(B48,TextData!A:A))</f>
        <v>ディプラヴィティ</v>
      </c>
      <c r="D48" s="5">
        <v>3</v>
      </c>
      <c r="E48" s="5" t="str">
        <f>INDEX(Define!X:X,MATCH(D48,Define!W:W))</f>
        <v>理術</v>
      </c>
      <c r="F48" s="5">
        <v>501</v>
      </c>
      <c r="G48" s="5">
        <v>1</v>
      </c>
      <c r="H48" s="5" t="str">
        <f>INDEX(Define!B:B,MATCH(G48,Define!A:A))</f>
        <v>単体</v>
      </c>
      <c r="I48" s="5">
        <v>2</v>
      </c>
      <c r="J48" s="5">
        <v>2</v>
      </c>
      <c r="K48" s="5">
        <v>5</v>
      </c>
      <c r="L48" s="5" t="str">
        <f>INDEX(Define!E:E,MATCH(K48,Define!D:D))</f>
        <v>闇</v>
      </c>
      <c r="M48" s="5">
        <v>1</v>
      </c>
      <c r="N48" s="5" t="str">
        <f>INDEX(Define!H:H,MATCH(M48,Define!G:G))</f>
        <v>魔法</v>
      </c>
      <c r="O48" s="5">
        <v>1</v>
      </c>
      <c r="P48" s="5" t="str">
        <f>INDEX(Define!K:K,MATCH(O48,Define!J:J))</f>
        <v>相手</v>
      </c>
      <c r="Q48" s="5">
        <v>1</v>
      </c>
      <c r="R48" s="5" t="str">
        <f>INDEX(Define!N:N,MATCH(Q48,Define!M:M))</f>
        <v>単体</v>
      </c>
      <c r="S48" s="5">
        <v>1</v>
      </c>
      <c r="T48" s="5">
        <v>1</v>
      </c>
      <c r="U48" s="5">
        <v>1</v>
      </c>
      <c r="V48" s="5">
        <v>0</v>
      </c>
    </row>
    <row r="49" ht="12" customHeight="1" spans="1:22">
      <c r="A49">
        <v>5060</v>
      </c>
      <c r="B49">
        <v>5060</v>
      </c>
      <c r="C49" t="str">
        <f>INDEX(TextData!B:B,MATCH(B49,TextData!A:A))</f>
        <v>ダークネス</v>
      </c>
      <c r="D49">
        <v>3</v>
      </c>
      <c r="E49" t="str">
        <f>INDEX(Define!X:X,MATCH(D49,Define!W:W))</f>
        <v>理術</v>
      </c>
      <c r="F49">
        <v>61</v>
      </c>
      <c r="G49">
        <v>1</v>
      </c>
      <c r="H49" t="str">
        <f>INDEX(Define!B:B,MATCH(G49,Define!A:A))</f>
        <v>単体</v>
      </c>
      <c r="I49">
        <v>3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1</v>
      </c>
      <c r="R49" t="str">
        <f>INDEX(Define!N:N,MATCH(Q49,Define!M:M))</f>
        <v>単体</v>
      </c>
      <c r="S49">
        <v>1</v>
      </c>
      <c r="T49">
        <v>1</v>
      </c>
      <c r="U49">
        <v>1</v>
      </c>
      <c r="V49" s="5">
        <v>0</v>
      </c>
    </row>
    <row r="50" ht="12" customHeight="1" spans="1:22">
      <c r="A50">
        <v>5070</v>
      </c>
      <c r="B50">
        <v>5070</v>
      </c>
      <c r="C50" t="str">
        <f>INDEX(TextData!B:B,MATCH(B50,TextData!A:A))</f>
        <v>シェイディークラウド</v>
      </c>
      <c r="D50">
        <v>5</v>
      </c>
      <c r="E50" t="str">
        <f>INDEX(Define!X:X,MATCH(D50,Define!W:W))</f>
        <v>超次元</v>
      </c>
      <c r="F50">
        <v>61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2</v>
      </c>
      <c r="R50" t="str">
        <f>INDEX(Define!N:N,MATCH(Q50,Define!M:M))</f>
        <v>列</v>
      </c>
      <c r="S50">
        <v>2</v>
      </c>
      <c r="T50">
        <v>1</v>
      </c>
      <c r="U50">
        <v>1</v>
      </c>
      <c r="V50" s="5">
        <v>0</v>
      </c>
    </row>
    <row r="51" ht="12" customHeight="1" spans="1:22">
      <c r="A51">
        <v>5080</v>
      </c>
      <c r="B51">
        <v>5080</v>
      </c>
      <c r="C51" t="str">
        <f>INDEX(TextData!B:B,MATCH(B51,TextData!A:A))</f>
        <v>ポイズンブロウ</v>
      </c>
      <c r="D51">
        <v>5</v>
      </c>
      <c r="E51" t="str">
        <f>INDEX(Define!X:X,MATCH(D51,Define!W:W))</f>
        <v>超次元</v>
      </c>
      <c r="F51">
        <v>501</v>
      </c>
      <c r="G51">
        <v>1</v>
      </c>
      <c r="H51" t="str">
        <f>INDEX(Define!B:B,MATCH(G51,Define!A:A))</f>
        <v>単体</v>
      </c>
      <c r="I51">
        <v>2</v>
      </c>
      <c r="J51">
        <v>2</v>
      </c>
      <c r="K51">
        <v>5</v>
      </c>
      <c r="L51" t="str">
        <f>INDEX(Define!E:E,MATCH(K51,Define!D:D))</f>
        <v>闇</v>
      </c>
      <c r="M51">
        <v>1</v>
      </c>
      <c r="N51" t="str">
        <f>INDEX(Define!H:H,MATCH(M51,Define!G:G))</f>
        <v>魔法</v>
      </c>
      <c r="O51">
        <v>1</v>
      </c>
      <c r="P51" t="str">
        <f>INDEX(Define!K:K,MATCH(O51,Define!J:J))</f>
        <v>相手</v>
      </c>
      <c r="Q51">
        <v>1</v>
      </c>
      <c r="R51" t="str">
        <f>INDEX(Define!N:N,MATCH(Q51,Define!M:M))</f>
        <v>単体</v>
      </c>
      <c r="S51">
        <v>1</v>
      </c>
      <c r="T51">
        <v>1</v>
      </c>
      <c r="U51">
        <v>1</v>
      </c>
      <c r="V51" s="5">
        <v>0</v>
      </c>
    </row>
    <row r="52" spans="1:22">
      <c r="A52">
        <v>10010</v>
      </c>
      <c r="B52">
        <v>10010</v>
      </c>
      <c r="C52" t="str">
        <f>INDEX(TextData!B:B,MATCH(B52,TextData!A:A))</f>
        <v>アンデッド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10020</v>
      </c>
      <c r="B53">
        <v>10020</v>
      </c>
      <c r="C53" t="str">
        <f>INDEX(TextData!B:B,MATCH(B53,TextData!A:A))</f>
        <v>エアリアル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10030</v>
      </c>
      <c r="B54">
        <v>10030</v>
      </c>
      <c r="C54" t="str">
        <f>INDEX(TextData!B:B,MATCH(B54,TextData!A:A))</f>
        <v>悪魔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10040</v>
      </c>
      <c r="B55">
        <v>10040</v>
      </c>
      <c r="C55" t="str">
        <f>INDEX(TextData!B:B,MATCH(B55,TextData!A:A))</f>
        <v>クリーチャー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10050</v>
      </c>
      <c r="B56">
        <v>10050</v>
      </c>
      <c r="C56" t="str">
        <f>INDEX(TextData!B:B,MATCH(B56,TextData!A:A))</f>
        <v>野生の記憶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10060</v>
      </c>
      <c r="B57">
        <v>10060</v>
      </c>
      <c r="C57" t="str">
        <f>INDEX(TextData!B:B,MATCH(B57,TextData!A:A))</f>
        <v>変異生物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0</v>
      </c>
      <c r="K57">
        <v>0</v>
      </c>
      <c r="L57" t="str">
        <f>INDEX(Define!E:E,MATCH(K57,Define!D:D))</f>
        <v>なし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11010</v>
      </c>
      <c r="B58">
        <v>11010</v>
      </c>
      <c r="C58" t="str">
        <f>INDEX(TextData!B:B,MATCH(B58,TextData!A:A))</f>
        <v>ウルフソウル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11020</v>
      </c>
      <c r="B59">
        <v>11020</v>
      </c>
      <c r="C59" t="str">
        <f>INDEX(TextData!B:B,MATCH(B59,TextData!A:A))</f>
        <v>プリディカメント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11030</v>
      </c>
      <c r="B60">
        <v>11030</v>
      </c>
      <c r="C60" t="str">
        <f>INDEX(TextData!B:B,MATCH(B60,TextData!A:A))</f>
        <v>アサルトシフト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0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4</v>
      </c>
      <c r="P60" t="str">
        <f>INDEX(Define!K:K,MATCH(O60,Define!J:J))</f>
        <v>自身</v>
      </c>
      <c r="Q60">
        <v>4</v>
      </c>
      <c r="R60" t="str">
        <f>INDEX(Define!N:N,MATCH(Q60,Define!M:M))</f>
        <v>自身</v>
      </c>
      <c r="S60">
        <v>1</v>
      </c>
      <c r="T60">
        <v>1</v>
      </c>
      <c r="U60">
        <v>1</v>
      </c>
      <c r="V60" s="5">
        <v>0</v>
      </c>
    </row>
    <row r="61" spans="1:22">
      <c r="A61">
        <v>11040</v>
      </c>
      <c r="B61">
        <v>11040</v>
      </c>
      <c r="C61" t="str">
        <f>INDEX(TextData!B:B,MATCH(B61,TextData!A:A))</f>
        <v>アクティブギフト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4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11</v>
      </c>
      <c r="P61" t="str">
        <f>INDEX(Define!K:K,MATCH(O61,Define!J:J))</f>
        <v>Triggerの条件を満たす</v>
      </c>
      <c r="Q61">
        <v>1</v>
      </c>
      <c r="R61" t="str">
        <f>INDEX(Define!N:N,MATCH(Q61,Define!M:M))</f>
        <v>単体</v>
      </c>
      <c r="S61">
        <v>1</v>
      </c>
      <c r="T61">
        <v>1</v>
      </c>
      <c r="U61">
        <v>1</v>
      </c>
      <c r="V61" s="5">
        <v>1</v>
      </c>
    </row>
    <row r="62" spans="1:22">
      <c r="A62">
        <v>11050</v>
      </c>
      <c r="B62">
        <v>11050</v>
      </c>
      <c r="C62" t="str">
        <f>INDEX(TextData!B:B,MATCH(B62,TextData!A:A))</f>
        <v>イグナイテッド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10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11060</v>
      </c>
      <c r="B63">
        <v>11060</v>
      </c>
      <c r="C63" t="str">
        <f>INDEX(TextData!B:B,MATCH(B63,TextData!A:A))</f>
        <v>ライジングファイア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11070</v>
      </c>
      <c r="B64">
        <v>11070</v>
      </c>
      <c r="C64" t="str">
        <f>INDEX(TextData!B:B,MATCH(B64,TextData!A:A))</f>
        <v>ルージュバック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0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4</v>
      </c>
      <c r="P64" t="str">
        <f>INDEX(Define!K:K,MATCH(O64,Define!J:J))</f>
        <v>自身</v>
      </c>
      <c r="Q64">
        <v>4</v>
      </c>
      <c r="R64" t="str">
        <f>INDEX(Define!N:N,MATCH(Q64,Define!M:M))</f>
        <v>自身</v>
      </c>
      <c r="S64">
        <v>1</v>
      </c>
      <c r="T64">
        <v>1</v>
      </c>
      <c r="U64">
        <v>1</v>
      </c>
      <c r="V64" s="5">
        <v>0</v>
      </c>
    </row>
    <row r="65" spans="1:22">
      <c r="A65">
        <v>11080</v>
      </c>
      <c r="B65">
        <v>11080</v>
      </c>
      <c r="C65" t="str">
        <f>INDEX(TextData!B:B,MATCH(B65,TextData!A:A))</f>
        <v>パワーエール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11</v>
      </c>
      <c r="P65" t="str">
        <f>INDEX(Define!K:K,MATCH(O65,Define!J:J))</f>
        <v>Triggerの条件を満たす</v>
      </c>
      <c r="Q65">
        <v>1</v>
      </c>
      <c r="R65" t="str">
        <f>INDEX(Define!N:N,MATCH(Q65,Define!M:M))</f>
        <v>単体</v>
      </c>
      <c r="S65">
        <v>1</v>
      </c>
      <c r="T65">
        <v>1</v>
      </c>
      <c r="U65">
        <v>1</v>
      </c>
      <c r="V65" s="5">
        <v>1</v>
      </c>
    </row>
    <row r="66" spans="1:22">
      <c r="A66">
        <v>11090</v>
      </c>
      <c r="B66">
        <v>11090</v>
      </c>
      <c r="C66" t="str">
        <f>INDEX(TextData!B:B,MATCH(B66,TextData!A:A))</f>
        <v>スレイプニル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3</v>
      </c>
      <c r="J66">
        <v>20</v>
      </c>
      <c r="K66">
        <v>1</v>
      </c>
      <c r="L66" t="str">
        <f>INDEX(Define!E:E,MATCH(K66,Define!D:D))</f>
        <v>炎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12010</v>
      </c>
      <c r="B67">
        <v>12010</v>
      </c>
      <c r="C67" t="str">
        <f>INDEX(TextData!B:B,MATCH(B67,TextData!A:A))</f>
        <v>エクステンション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12020</v>
      </c>
      <c r="B68">
        <v>12020</v>
      </c>
      <c r="C68" t="str">
        <f>INDEX(TextData!B:B,MATCH(B68,TextData!A:A))</f>
        <v>ヘブンリーラック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12030</v>
      </c>
      <c r="B69">
        <v>12030</v>
      </c>
      <c r="C69" t="str">
        <f>INDEX(TextData!B:B,MATCH(B69,TextData!A:A))</f>
        <v>スウィフトカレント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4</v>
      </c>
      <c r="P69" t="str">
        <f>INDEX(Define!K:K,MATCH(O69,Define!J:J))</f>
        <v>自身</v>
      </c>
      <c r="Q69">
        <v>4</v>
      </c>
      <c r="R69" t="str">
        <f>INDEX(Define!N:N,MATCH(Q69,Define!M:M))</f>
        <v>自身</v>
      </c>
      <c r="S69">
        <v>1</v>
      </c>
      <c r="T69">
        <v>1</v>
      </c>
      <c r="U69">
        <v>1</v>
      </c>
      <c r="V69" s="5">
        <v>0</v>
      </c>
    </row>
    <row r="70" spans="1:22">
      <c r="A70">
        <v>12040</v>
      </c>
      <c r="B70">
        <v>12040</v>
      </c>
      <c r="C70" t="str">
        <f>INDEX(TextData!B:B,MATCH(B70,TextData!A:A))</f>
        <v>イヴェイドオール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2</v>
      </c>
      <c r="P70" t="str">
        <f>INDEX(Define!K:K,MATCH(O70,Define!J:J))</f>
        <v>味方</v>
      </c>
      <c r="Q70">
        <v>2</v>
      </c>
      <c r="R70" t="str">
        <f>INDEX(Define!N:N,MATCH(Q70,Define!M:M))</f>
        <v>列</v>
      </c>
      <c r="S70">
        <v>1</v>
      </c>
      <c r="T70">
        <v>1</v>
      </c>
      <c r="U70">
        <v>1</v>
      </c>
      <c r="V70" s="5">
        <v>0</v>
      </c>
    </row>
    <row r="71" spans="1:22">
      <c r="A71">
        <v>12050</v>
      </c>
      <c r="B71">
        <v>12050</v>
      </c>
      <c r="C71" t="str">
        <f>INDEX(TextData!B:B,MATCH(B71,TextData!A:A))</f>
        <v>クイックムーブ</v>
      </c>
      <c r="D71">
        <v>6</v>
      </c>
      <c r="E71" t="str">
        <f>INDEX(Define!X:X,MATCH(D71,Define!W:W))</f>
        <v>自己強化</v>
      </c>
      <c r="F71">
        <v>51</v>
      </c>
      <c r="G71">
        <v>1</v>
      </c>
      <c r="H71" t="str">
        <f>INDEX(Define!B:B,MATCH(G71,Define!A:A))</f>
        <v>単体</v>
      </c>
      <c r="I71">
        <v>0</v>
      </c>
      <c r="J71">
        <v>10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4</v>
      </c>
      <c r="P71" t="str">
        <f>INDEX(Define!K:K,MATCH(O71,Define!J:J))</f>
        <v>自身</v>
      </c>
      <c r="Q71">
        <v>4</v>
      </c>
      <c r="R71" t="str">
        <f>INDEX(Define!N:N,MATCH(Q71,Define!M:M))</f>
        <v>自身</v>
      </c>
      <c r="S71">
        <v>1</v>
      </c>
      <c r="T71">
        <v>1</v>
      </c>
      <c r="U71">
        <v>1</v>
      </c>
      <c r="V71" s="5">
        <v>0</v>
      </c>
    </row>
    <row r="72" spans="1:22">
      <c r="A72">
        <v>12060</v>
      </c>
      <c r="B72">
        <v>12060</v>
      </c>
      <c r="C72" t="str">
        <f>INDEX(TextData!B:B,MATCH(B72,TextData!A:A))</f>
        <v>チェイスマジック</v>
      </c>
      <c r="D72">
        <v>6</v>
      </c>
      <c r="E72" t="str">
        <f>INDEX(Define!X:X,MATCH(D72,Define!W:W))</f>
        <v>自己強化</v>
      </c>
      <c r="F72">
        <v>201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7</v>
      </c>
      <c r="P72" t="str">
        <f>INDEX(Define!K:K,MATCH(O72,Define!J:J))</f>
        <v>追撃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0</v>
      </c>
    </row>
    <row r="73" spans="1:22">
      <c r="A73">
        <v>12070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51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11</v>
      </c>
      <c r="P73" t="str">
        <f>INDEX(Define!K:K,MATCH(O73,Define!J:J))</f>
        <v>Triggerの条件を満たす</v>
      </c>
      <c r="Q73">
        <v>1</v>
      </c>
      <c r="R73" t="str">
        <f>INDEX(Define!N:N,MATCH(Q73,Define!M:M))</f>
        <v>単体</v>
      </c>
      <c r="S73">
        <v>1</v>
      </c>
      <c r="T73">
        <v>1</v>
      </c>
      <c r="U73">
        <v>1</v>
      </c>
      <c r="V73" s="5">
        <v>1</v>
      </c>
    </row>
    <row r="74" spans="1:22">
      <c r="A74">
        <v>12071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61</v>
      </c>
      <c r="G74">
        <v>1</v>
      </c>
      <c r="H74" t="str">
        <f>INDEX(Define!B:B,MATCH(G74,Define!A:A))</f>
        <v>単体</v>
      </c>
      <c r="I74">
        <v>3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4</v>
      </c>
      <c r="P74" t="str">
        <f>INDEX(Define!K:K,MATCH(O74,Define!J:J))</f>
        <v>自身</v>
      </c>
      <c r="Q74">
        <v>4</v>
      </c>
      <c r="R74" t="str">
        <f>INDEX(Define!N:N,MATCH(Q74,Define!M:M))</f>
        <v>自身</v>
      </c>
      <c r="S74">
        <v>1</v>
      </c>
      <c r="T74">
        <v>1</v>
      </c>
      <c r="U74">
        <v>1</v>
      </c>
      <c r="V74" s="5">
        <v>0</v>
      </c>
    </row>
    <row r="75" spans="1:22">
      <c r="A75">
        <v>12080</v>
      </c>
      <c r="B75">
        <v>12080</v>
      </c>
      <c r="C75" t="str">
        <f>INDEX(TextData!B:B,MATCH(B75,TextData!A:A))</f>
        <v>ウィンドライズ</v>
      </c>
      <c r="D75">
        <v>6</v>
      </c>
      <c r="E75" t="str">
        <f>INDEX(Define!X:X,MATCH(D75,Define!W:W))</f>
        <v>自己強化</v>
      </c>
      <c r="F75">
        <v>201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6</v>
      </c>
      <c r="P75" t="str">
        <f>INDEX(Define!K:K,MATCH(O75,Define!J:J))</f>
        <v>反撃</v>
      </c>
      <c r="Q75">
        <v>1</v>
      </c>
      <c r="R75" t="str">
        <f>INDEX(Define!N:N,MATCH(Q75,Define!M:M))</f>
        <v>単体</v>
      </c>
      <c r="S75">
        <v>2</v>
      </c>
      <c r="T75">
        <v>1</v>
      </c>
      <c r="U75">
        <v>1</v>
      </c>
      <c r="V75" s="5">
        <v>0</v>
      </c>
    </row>
    <row r="76" spans="1:22">
      <c r="A76">
        <v>12090</v>
      </c>
      <c r="B76">
        <v>12090</v>
      </c>
      <c r="C76" t="str">
        <f>INDEX(TextData!B:B,MATCH(B76,TextData!A:A))</f>
        <v>アウトオブオーダー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20</v>
      </c>
      <c r="K76">
        <v>2</v>
      </c>
      <c r="L76" t="str">
        <f>INDEX(Define!E:E,MATCH(K76,Define!D:D))</f>
        <v>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2</v>
      </c>
      <c r="R76" t="str">
        <f>INDEX(Define!N:N,MATCH(Q76,Define!M:M))</f>
        <v>列</v>
      </c>
      <c r="S76">
        <v>2</v>
      </c>
      <c r="T76">
        <v>1</v>
      </c>
      <c r="U76">
        <v>1</v>
      </c>
      <c r="V76" s="5">
        <v>0</v>
      </c>
    </row>
    <row r="77" spans="1:22">
      <c r="A77">
        <v>13010</v>
      </c>
      <c r="B77">
        <v>13010</v>
      </c>
      <c r="C77" t="str">
        <f>INDEX(TextData!B:B,MATCH(B77,TextData!A:A))</f>
        <v>アーマーコード</v>
      </c>
      <c r="D77">
        <v>6</v>
      </c>
      <c r="E77" t="str">
        <f>INDEX(Define!X:X,MATCH(D77,Define!W:W))</f>
        <v>自己強化</v>
      </c>
      <c r="F77">
        <v>51</v>
      </c>
      <c r="G77">
        <v>1</v>
      </c>
      <c r="H77" t="str">
        <f>INDEX(Define!B:B,MATCH(G77,Define!A:A))</f>
        <v>単体</v>
      </c>
      <c r="I77">
        <v>0</v>
      </c>
      <c r="J77">
        <v>10</v>
      </c>
      <c r="K77">
        <v>3</v>
      </c>
      <c r="L77" t="str">
        <f>INDEX(Define!E:E,MATCH(K77,Define!D:D))</f>
        <v>氷</v>
      </c>
      <c r="M77">
        <v>2</v>
      </c>
      <c r="N77" t="str">
        <f>INDEX(Define!H:H,MATCH(M77,Define!G:G))</f>
        <v>パッシブ</v>
      </c>
      <c r="O77">
        <v>4</v>
      </c>
      <c r="P77" t="str">
        <f>INDEX(Define!K:K,MATCH(O77,Define!J:J))</f>
        <v>自身</v>
      </c>
      <c r="Q77">
        <v>4</v>
      </c>
      <c r="R77" t="str">
        <f>INDEX(Define!N:N,MATCH(Q77,Define!M:M))</f>
        <v>自身</v>
      </c>
      <c r="S77">
        <v>1</v>
      </c>
      <c r="T77">
        <v>1</v>
      </c>
      <c r="U77">
        <v>1</v>
      </c>
      <c r="V77" s="5">
        <v>0</v>
      </c>
    </row>
    <row r="78" s="5" customFormat="1" ht="12" customHeight="1" spans="1:22">
      <c r="A78">
        <v>13020</v>
      </c>
      <c r="B78">
        <v>13020</v>
      </c>
      <c r="C78" s="5" t="str">
        <f>INDEX(TextData!B:B,MATCH(B78,TextData!A:A))</f>
        <v>クイックバリア</v>
      </c>
      <c r="D78" s="5">
        <v>6</v>
      </c>
      <c r="E78" s="5" t="str">
        <f>INDEX(Define!X:X,MATCH(D78,Define!W:W))</f>
        <v>自己強化</v>
      </c>
      <c r="F78" s="5">
        <v>21</v>
      </c>
      <c r="G78" s="5">
        <v>1</v>
      </c>
      <c r="H78" s="5" t="str">
        <f>INDEX(Define!B:B,MATCH(G78,Define!A:A))</f>
        <v>単体</v>
      </c>
      <c r="I78" s="5">
        <v>3</v>
      </c>
      <c r="J78" s="5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="5" customFormat="1" ht="12" customHeight="1" spans="1:22">
      <c r="A79" s="5">
        <v>13030</v>
      </c>
      <c r="B79" s="5">
        <v>13030</v>
      </c>
      <c r="C79" s="5" t="str">
        <f>INDEX(TextData!B:B,MATCH(B79,TextData!A:A))</f>
        <v>クイックキュア</v>
      </c>
      <c r="D79" s="5">
        <v>6</v>
      </c>
      <c r="E79" s="5" t="str">
        <f>INDEX(Define!X:X,MATCH(D79,Define!W:W))</f>
        <v>自己強化</v>
      </c>
      <c r="F79" s="5">
        <v>51</v>
      </c>
      <c r="G79" s="5">
        <v>1</v>
      </c>
      <c r="H79" s="5" t="str">
        <f>INDEX(Define!B:B,MATCH(G79,Define!A:A))</f>
        <v>単体</v>
      </c>
      <c r="I79" s="5">
        <v>2</v>
      </c>
      <c r="J79">
        <v>10</v>
      </c>
      <c r="K79" s="5">
        <v>3</v>
      </c>
      <c r="L79" s="5" t="str">
        <f>INDEX(Define!E:E,MATCH(K79,Define!D:D))</f>
        <v>氷</v>
      </c>
      <c r="M79" s="5">
        <v>2</v>
      </c>
      <c r="N79" s="5" t="str">
        <f>INDEX(Define!H:H,MATCH(M79,Define!G:G))</f>
        <v>パッシブ</v>
      </c>
      <c r="O79" s="5">
        <v>11</v>
      </c>
      <c r="P79" s="5" t="str">
        <f>INDEX(Define!K:K,MATCH(O79,Define!J:J))</f>
        <v>Triggerの条件を満たす</v>
      </c>
      <c r="Q79" s="5">
        <v>1</v>
      </c>
      <c r="R79" s="5" t="str">
        <f>INDEX(Define!N:N,MATCH(Q79,Define!M:M))</f>
        <v>単体</v>
      </c>
      <c r="S79" s="5">
        <v>1</v>
      </c>
      <c r="T79" s="5">
        <v>1</v>
      </c>
      <c r="U79" s="5">
        <v>1</v>
      </c>
      <c r="V79" s="5">
        <v>1</v>
      </c>
    </row>
    <row r="80" spans="1:22">
      <c r="A80">
        <v>13040</v>
      </c>
      <c r="B80">
        <v>13040</v>
      </c>
      <c r="C80" t="str">
        <f>INDEX(TextData!B:B,MATCH(B80,TextData!A:A))</f>
        <v>セルフシールド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3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>
        <v>4</v>
      </c>
      <c r="P80" t="str">
        <f>INDEX(Define!K:K,MATCH(O80,Define!J:J))</f>
        <v>自身</v>
      </c>
      <c r="Q80">
        <v>4</v>
      </c>
      <c r="R80" t="str">
        <f>INDEX(Define!N:N,MATCH(Q80,Define!M:M))</f>
        <v>自身</v>
      </c>
      <c r="S80">
        <v>1</v>
      </c>
      <c r="T80">
        <v>1</v>
      </c>
      <c r="U80">
        <v>1</v>
      </c>
      <c r="V80" s="5">
        <v>0</v>
      </c>
    </row>
    <row r="81" spans="1:22">
      <c r="A81">
        <v>13050</v>
      </c>
      <c r="B81">
        <v>13050</v>
      </c>
      <c r="C81" t="str">
        <f>INDEX(TextData!B:B,MATCH(B81,TextData!A:A))</f>
        <v>パッシブジャミング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5</v>
      </c>
      <c r="J81">
        <v>10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11</v>
      </c>
      <c r="P81" t="str">
        <f>INDEX(Define!K:K,MATCH(O81,Define!J:J))</f>
        <v>Triggerの条件を満たす</v>
      </c>
      <c r="Q81">
        <v>1</v>
      </c>
      <c r="R81" t="str">
        <f>INDEX(Define!N:N,MATCH(Q81,Define!M:M))</f>
        <v>単体</v>
      </c>
      <c r="S81">
        <v>1</v>
      </c>
      <c r="T81">
        <v>1</v>
      </c>
      <c r="U81">
        <v>1</v>
      </c>
      <c r="V81" s="5">
        <v>1</v>
      </c>
    </row>
    <row r="82" spans="1:22">
      <c r="A82">
        <v>13060</v>
      </c>
      <c r="B82">
        <v>13060</v>
      </c>
      <c r="C82" t="str">
        <f>INDEX(TextData!B:B,MATCH(B82,TextData!A:A))</f>
        <v>サプライカバー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2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 s="5">
        <v>4</v>
      </c>
      <c r="P82" t="str">
        <f>INDEX(Define!K:K,MATCH(O82,Define!J:J))</f>
        <v>自身</v>
      </c>
      <c r="Q82">
        <v>4</v>
      </c>
      <c r="R82" t="str">
        <f>INDEX(Define!N:N,MATCH(Q82,Define!M:M))</f>
        <v>自身</v>
      </c>
      <c r="S82">
        <v>1</v>
      </c>
      <c r="T82">
        <v>1</v>
      </c>
      <c r="U82">
        <v>1</v>
      </c>
      <c r="V82" s="5">
        <v>0</v>
      </c>
    </row>
    <row r="83" spans="1:22">
      <c r="A83">
        <v>13070</v>
      </c>
      <c r="B83">
        <v>13070</v>
      </c>
      <c r="C83" t="str">
        <f>INDEX(TextData!B:B,MATCH(B83,TextData!A:A))</f>
        <v>アシッドラッシュ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0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7</v>
      </c>
      <c r="P83" t="str">
        <f>INDEX(Define!K:K,MATCH(O83,Define!J:J))</f>
        <v>追撃</v>
      </c>
      <c r="Q83">
        <v>1</v>
      </c>
      <c r="R83" t="str">
        <f>INDEX(Define!N:N,MATCH(Q83,Define!M:M))</f>
        <v>単体</v>
      </c>
      <c r="S83">
        <v>1</v>
      </c>
      <c r="T83">
        <v>1</v>
      </c>
      <c r="U83">
        <v>1</v>
      </c>
      <c r="V83" s="5">
        <v>0</v>
      </c>
    </row>
    <row r="84" spans="1:22">
      <c r="A84">
        <v>13080</v>
      </c>
      <c r="B84">
        <v>13080</v>
      </c>
      <c r="C84" t="str">
        <f>INDEX(TextData!B:B,MATCH(B84,TextData!A:A))</f>
        <v>ライフスティール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4</v>
      </c>
      <c r="P84" t="str">
        <f>INDEX(Define!K:K,MATCH(O84,Define!J:J))</f>
        <v>自身</v>
      </c>
      <c r="Q84">
        <v>4</v>
      </c>
      <c r="R84" t="str">
        <f>INDEX(Define!N:N,MATCH(Q84,Define!M:M))</f>
        <v>自身</v>
      </c>
      <c r="S84">
        <v>1</v>
      </c>
      <c r="T84">
        <v>1</v>
      </c>
      <c r="U84">
        <v>1</v>
      </c>
      <c r="V84" s="5">
        <v>0</v>
      </c>
    </row>
    <row r="85" spans="1:22">
      <c r="A85">
        <v>13090</v>
      </c>
      <c r="B85">
        <v>13090</v>
      </c>
      <c r="C85" t="str">
        <f>INDEX(TextData!B:B,MATCH(B85,TextData!A:A))</f>
        <v>アイスセイバー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3</v>
      </c>
      <c r="J85">
        <v>20</v>
      </c>
      <c r="K85">
        <v>3</v>
      </c>
      <c r="L85" t="str">
        <f>INDEX(Define!E:E,MATCH(K85,Define!D:D))</f>
        <v>氷</v>
      </c>
      <c r="M85">
        <v>2</v>
      </c>
      <c r="N85" t="str">
        <f>INDEX(Define!H:H,MATCH(M85,Define!G:G))</f>
        <v>パッシブ</v>
      </c>
      <c r="O85">
        <v>7</v>
      </c>
      <c r="P85" t="str">
        <f>INDEX(Define!K:K,MATCH(O85,Define!J:J))</f>
        <v>追撃</v>
      </c>
      <c r="Q85">
        <v>3</v>
      </c>
      <c r="R85" t="str">
        <f>INDEX(Define!N:N,MATCH(Q85,Define!M:M))</f>
        <v>全体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14010</v>
      </c>
      <c r="B86">
        <v>14010</v>
      </c>
      <c r="C86" t="str">
        <f>INDEX(TextData!B:B,MATCH(B86,TextData!A:A))</f>
        <v>ディバインシールド</v>
      </c>
      <c r="D86">
        <v>6</v>
      </c>
      <c r="E86" t="str">
        <f>INDEX(Define!X:X,MATCH(D86,Define!W:W))</f>
        <v>自己強化</v>
      </c>
      <c r="F86">
        <v>51</v>
      </c>
      <c r="G86">
        <v>1</v>
      </c>
      <c r="H86" t="str">
        <f>INDEX(Define!B:B,MATCH(G86,Define!A:A))</f>
        <v>単体</v>
      </c>
      <c r="I86">
        <v>0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4</v>
      </c>
      <c r="P86" t="str">
        <f>INDEX(Define!K:K,MATCH(O86,Define!J:J))</f>
        <v>自身</v>
      </c>
      <c r="Q86">
        <v>4</v>
      </c>
      <c r="R86" t="str">
        <f>INDEX(Define!N:N,MATCH(Q86,Define!M:M))</f>
        <v>自身</v>
      </c>
      <c r="S86">
        <v>1</v>
      </c>
      <c r="T86">
        <v>1</v>
      </c>
      <c r="U86">
        <v>1</v>
      </c>
      <c r="V86" s="5">
        <v>0</v>
      </c>
    </row>
    <row r="87" ht="12" customHeight="1" spans="1:22">
      <c r="A87">
        <v>14020</v>
      </c>
      <c r="B87">
        <v>14020</v>
      </c>
      <c r="C87" t="str">
        <f>INDEX(TextData!B:B,MATCH(B87,TextData!A:A))</f>
        <v>ライフディバイド</v>
      </c>
      <c r="D87">
        <v>6</v>
      </c>
      <c r="E87" t="str">
        <f>INDEX(Define!X:X,MATCH(D87,Define!W:W))</f>
        <v>自己強化</v>
      </c>
      <c r="F87">
        <v>21</v>
      </c>
      <c r="G87">
        <v>1</v>
      </c>
      <c r="H87" t="str">
        <f>INDEX(Define!B:B,MATCH(G87,Define!A:A))</f>
        <v>単体</v>
      </c>
      <c r="I87">
        <v>3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11</v>
      </c>
      <c r="P87" t="str">
        <f>INDEX(Define!K:K,MATCH(O87,Define!J:J))</f>
        <v>Triggerの条件を満たす</v>
      </c>
      <c r="Q87">
        <v>1</v>
      </c>
      <c r="R87" t="str">
        <f>INDEX(Define!N:N,MATCH(Q87,Define!M:M))</f>
        <v>単体</v>
      </c>
      <c r="S87">
        <v>1</v>
      </c>
      <c r="T87">
        <v>1</v>
      </c>
      <c r="U87">
        <v>1</v>
      </c>
      <c r="V87" s="5">
        <v>1</v>
      </c>
    </row>
    <row r="88" ht="12" customHeight="1" spans="1:22">
      <c r="A88">
        <v>14030</v>
      </c>
      <c r="B88">
        <v>14030</v>
      </c>
      <c r="C88" t="str">
        <f>INDEX(TextData!B:B,MATCH(B88,TextData!A:A))</f>
        <v>エイミングスコープ</v>
      </c>
      <c r="D88">
        <v>6</v>
      </c>
      <c r="E88" t="str">
        <f>INDEX(Define!X:X,MATCH(D88,Define!W:W))</f>
        <v>自己強化</v>
      </c>
      <c r="F88">
        <v>51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2</v>
      </c>
      <c r="P88" t="str">
        <f>INDEX(Define!K:K,MATCH(O88,Define!J:J))</f>
        <v>味方</v>
      </c>
      <c r="Q88">
        <v>3</v>
      </c>
      <c r="R88" t="str">
        <f>INDEX(Define!N:N,MATCH(Q88,Define!M:M))</f>
        <v>全体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14040</v>
      </c>
      <c r="B89">
        <v>14040</v>
      </c>
      <c r="C89" t="str">
        <f>INDEX(TextData!B:B,MATCH(B89,TextData!A:A))</f>
        <v>リジェネレーション</v>
      </c>
      <c r="D89">
        <v>6</v>
      </c>
      <c r="E89" t="str">
        <f>INDEX(Define!X:X,MATCH(D89,Define!W:W))</f>
        <v>自己強化</v>
      </c>
      <c r="F89">
        <v>21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14050</v>
      </c>
      <c r="B90">
        <v>14050</v>
      </c>
      <c r="C90" t="str">
        <f>INDEX(TextData!B:B,MATCH(B90,TextData!A:A))</f>
        <v>ホープフルアイリス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10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4</v>
      </c>
      <c r="P90" t="str">
        <f>INDEX(Define!K:K,MATCH(O90,Define!J:J))</f>
        <v>自身</v>
      </c>
      <c r="Q90">
        <v>4</v>
      </c>
      <c r="R90" t="str">
        <f>INDEX(Define!N:N,MATCH(Q90,Define!M:M))</f>
        <v>自身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14060</v>
      </c>
      <c r="B91">
        <v>14060</v>
      </c>
      <c r="C91" t="str">
        <f>INDEX(TextData!B:B,MATCH(B91,TextData!A:A))</f>
        <v>パッシブサプライ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6</v>
      </c>
      <c r="P91" t="str">
        <f>INDEX(Define!K:K,MATCH(O91,Define!J:J))</f>
        <v>反撃</v>
      </c>
      <c r="Q91">
        <v>1</v>
      </c>
      <c r="R91" t="str">
        <f>INDEX(Define!N:N,MATCH(Q91,Define!M:M))</f>
        <v>単体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14070</v>
      </c>
      <c r="B92">
        <v>14070</v>
      </c>
      <c r="C92" t="str">
        <f>INDEX(TextData!B:B,MATCH(B92,TextData!A:A))</f>
        <v>ホーミングクルセイド</v>
      </c>
      <c r="D92">
        <v>6</v>
      </c>
      <c r="E92" t="str">
        <f>INDEX(Define!X:X,MATCH(D92,Define!W:W))</f>
        <v>自己強化</v>
      </c>
      <c r="F92">
        <v>51</v>
      </c>
      <c r="G92">
        <v>1</v>
      </c>
      <c r="H92" t="str">
        <f>INDEX(Define!B:B,MATCH(G92,Define!A:A))</f>
        <v>単体</v>
      </c>
      <c r="I92">
        <v>0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4</v>
      </c>
      <c r="P92" t="str">
        <f>INDEX(Define!K:K,MATCH(O92,Define!J:J))</f>
        <v>自身</v>
      </c>
      <c r="Q92">
        <v>4</v>
      </c>
      <c r="R92" t="str">
        <f>INDEX(Define!N:N,MATCH(Q92,Define!M:M))</f>
        <v>自身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14080</v>
      </c>
      <c r="B93">
        <v>14080</v>
      </c>
      <c r="C93" t="str">
        <f>INDEX(TextData!B:B,MATCH(B93,TextData!A:A))</f>
        <v>クイックヒール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2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11</v>
      </c>
      <c r="P93" t="str">
        <f>INDEX(Define!K:K,MATCH(O93,Define!J:J))</f>
        <v>Triggerの条件を満たす</v>
      </c>
      <c r="Q93">
        <v>1</v>
      </c>
      <c r="R93" t="str">
        <f>INDEX(Define!N:N,MATCH(Q93,Define!M:M))</f>
        <v>単体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14090</v>
      </c>
      <c r="B94">
        <v>14090</v>
      </c>
      <c r="C94" t="str">
        <f>INDEX(TextData!B:B,MATCH(B94,TextData!A:A))</f>
        <v>リレイズ</v>
      </c>
      <c r="D94">
        <v>6</v>
      </c>
      <c r="E94" t="str">
        <f>INDEX(Define!X:X,MATCH(D94,Define!W:W))</f>
        <v>自己強化</v>
      </c>
      <c r="F94">
        <v>21</v>
      </c>
      <c r="G94">
        <v>1</v>
      </c>
      <c r="H94" t="str">
        <f>INDEX(Define!B:B,MATCH(G94,Define!A:A))</f>
        <v>単体</v>
      </c>
      <c r="I94">
        <v>5</v>
      </c>
      <c r="J94">
        <v>20</v>
      </c>
      <c r="K94">
        <v>4</v>
      </c>
      <c r="L94" t="str">
        <f>INDEX(Define!E:E,MATCH(K94,Define!D:D))</f>
        <v>光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15010</v>
      </c>
      <c r="B95">
        <v>15010</v>
      </c>
      <c r="C95" t="str">
        <f>INDEX(TextData!B:B,MATCH(B95,TextData!A:A))</f>
        <v>イーグルアイ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15020</v>
      </c>
      <c r="B96">
        <v>15020</v>
      </c>
      <c r="C96" t="str">
        <f>INDEX(TextData!B:B,MATCH(B96,TextData!A:A))</f>
        <v>ネヴァーエンド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15030</v>
      </c>
      <c r="B97">
        <v>15030</v>
      </c>
      <c r="C97" t="str">
        <f>INDEX(TextData!B:B,MATCH(B97,TextData!A:A))</f>
        <v>グレイブアクト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15040</v>
      </c>
      <c r="B98">
        <v>15040</v>
      </c>
      <c r="C98" t="str">
        <f>INDEX(TextData!B:B,MATCH(B98,TextData!A:A))</f>
        <v>スカルグラッジ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15050</v>
      </c>
      <c r="B99">
        <v>15050</v>
      </c>
      <c r="C99" t="str">
        <f>INDEX(TextData!B:B,MATCH(B99,TextData!A:A))</f>
        <v>ネガティブドレイン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10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15060</v>
      </c>
      <c r="B100">
        <v>15060</v>
      </c>
      <c r="C100" t="str">
        <f>INDEX(TextData!B:B,MATCH(B100,TextData!A:A))</f>
        <v>アンデッドペイン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0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4</v>
      </c>
      <c r="P100" t="str">
        <f>INDEX(Define!K:K,MATCH(O100,Define!J:J))</f>
        <v>自身</v>
      </c>
      <c r="Q100">
        <v>4</v>
      </c>
      <c r="R100" t="str">
        <f>INDEX(Define!N:N,MATCH(Q100,Define!M:M))</f>
        <v>自身</v>
      </c>
      <c r="S100">
        <v>1</v>
      </c>
      <c r="T100">
        <v>1</v>
      </c>
      <c r="U100">
        <v>1</v>
      </c>
      <c r="V100" s="5">
        <v>0</v>
      </c>
    </row>
    <row r="101" ht="12" customHeight="1" spans="1:22">
      <c r="A101">
        <v>15070</v>
      </c>
      <c r="B101">
        <v>15070</v>
      </c>
      <c r="C101" t="str">
        <f>INDEX(TextData!B:B,MATCH(B101,TextData!A:A))</f>
        <v>ジャックポッド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3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11</v>
      </c>
      <c r="P101" t="str">
        <f>INDEX(Define!K:K,MATCH(O101,Define!J:J))</f>
        <v>Triggerの条件を満たす</v>
      </c>
      <c r="Q101">
        <v>1</v>
      </c>
      <c r="R101" t="str">
        <f>INDEX(Define!N:N,MATCH(Q101,Define!M:M))</f>
        <v>単体</v>
      </c>
      <c r="S101">
        <v>1</v>
      </c>
      <c r="T101">
        <v>1</v>
      </c>
      <c r="U101">
        <v>1</v>
      </c>
      <c r="V101" s="5">
        <v>1</v>
      </c>
    </row>
    <row r="102" ht="12" customHeight="1" spans="1:22">
      <c r="A102">
        <v>15080</v>
      </c>
      <c r="B102">
        <v>15080</v>
      </c>
      <c r="C102" t="str">
        <f>INDEX(TextData!B:B,MATCH(B102,TextData!A:A))</f>
        <v>ヒールハント</v>
      </c>
      <c r="D102">
        <v>6</v>
      </c>
      <c r="E102" t="str">
        <f>INDEX(Define!X:X,MATCH(D102,Define!W:W))</f>
        <v>自己強化</v>
      </c>
      <c r="F102">
        <v>51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15090</v>
      </c>
      <c r="B103">
        <v>15090</v>
      </c>
      <c r="C103" t="str">
        <f>INDEX(TextData!B:B,MATCH(B103,TextData!A:A))</f>
        <v>クイックカース</v>
      </c>
      <c r="D103">
        <v>6</v>
      </c>
      <c r="E103" t="str">
        <f>INDEX(Define!X:X,MATCH(D103,Define!W:W))</f>
        <v>自己強化</v>
      </c>
      <c r="F103">
        <v>61</v>
      </c>
      <c r="G103">
        <v>1</v>
      </c>
      <c r="H103" t="str">
        <f>INDEX(Define!B:B,MATCH(G103,Define!A:A))</f>
        <v>単体</v>
      </c>
      <c r="I103">
        <v>2</v>
      </c>
      <c r="J103">
        <v>20</v>
      </c>
      <c r="K103">
        <v>5</v>
      </c>
      <c r="L103" t="str">
        <f>INDEX(Define!E:E,MATCH(K103,Define!D:D))</f>
        <v>闇</v>
      </c>
      <c r="M103">
        <v>2</v>
      </c>
      <c r="N103" t="str">
        <f>INDEX(Define!H:H,MATCH(M103,Define!G:G))</f>
        <v>パッシブ</v>
      </c>
      <c r="O103">
        <v>6</v>
      </c>
      <c r="P103" t="str">
        <f>INDEX(Define!K:K,MATCH(O103,Define!J:J))</f>
        <v>反撃</v>
      </c>
      <c r="Q103">
        <v>1</v>
      </c>
      <c r="R103" t="str">
        <f>INDEX(Define!N:N,MATCH(Q103,Define!M:M))</f>
        <v>単体</v>
      </c>
      <c r="S103">
        <v>2</v>
      </c>
      <c r="T103">
        <v>1</v>
      </c>
      <c r="U103">
        <v>1</v>
      </c>
      <c r="V103" s="5">
        <v>0</v>
      </c>
    </row>
    <row r="104" ht="12" customHeight="1" spans="1:22">
      <c r="A104">
        <v>20010</v>
      </c>
      <c r="B104">
        <v>20010</v>
      </c>
      <c r="C104" t="str">
        <f>INDEX(TextData!B:B,MATCH(B104,TextData!A:A))</f>
        <v>ウェイトユニゾン</v>
      </c>
      <c r="D104">
        <v>99</v>
      </c>
      <c r="E104" t="str">
        <f>INDEX(Define!X:X,MATCH(D104,Define!W:W))</f>
        <v>その他</v>
      </c>
      <c r="F104">
        <v>0</v>
      </c>
      <c r="G104">
        <v>1</v>
      </c>
      <c r="H104" t="str">
        <f>INDEX(Define!B:B,MATCH(G104,Define!A:A))</f>
        <v>単体</v>
      </c>
      <c r="I104">
        <v>0</v>
      </c>
      <c r="J104">
        <v>0</v>
      </c>
      <c r="K104">
        <v>0</v>
      </c>
      <c r="L104" t="str">
        <f>INDEX(Define!E:E,MATCH(K104,Define!D:D))</f>
        <v>なし</v>
      </c>
      <c r="M104">
        <v>1</v>
      </c>
      <c r="N104" t="str">
        <f>INDEX(Define!H:H,MATCH(M104,Define!G:G))</f>
        <v>魔法</v>
      </c>
      <c r="O104">
        <v>4</v>
      </c>
      <c r="P104" t="str">
        <f>INDEX(Define!K:K,MATCH(O104,Define!J:J))</f>
        <v>自身</v>
      </c>
      <c r="Q104">
        <v>4</v>
      </c>
      <c r="R104" t="str">
        <f>INDEX(Define!N:N,MATCH(Q104,Define!M:M))</f>
        <v>自身</v>
      </c>
      <c r="S104">
        <v>1</v>
      </c>
      <c r="T104">
        <v>1</v>
      </c>
      <c r="U104">
        <v>1</v>
      </c>
      <c r="V104" s="5">
        <v>0</v>
      </c>
    </row>
    <row r="105" spans="1:22">
      <c r="A105">
        <v>100110</v>
      </c>
      <c r="B105">
        <v>100110</v>
      </c>
      <c r="C105" t="str">
        <f>INDEX(TextData!B:B,MATCH(B105,TextData!A:A))</f>
        <v>ソーイングアームド</v>
      </c>
      <c r="D105">
        <v>10</v>
      </c>
      <c r="E105" t="str">
        <f>INDEX(Define!X:X,MATCH(D105,Define!W:W))</f>
        <v>半神</v>
      </c>
      <c r="F105">
        <v>51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3</v>
      </c>
      <c r="N105" t="str">
        <f>INDEX(Define!H:H,MATCH(M105,Define!G:G))</f>
        <v>神化</v>
      </c>
      <c r="O105">
        <v>4</v>
      </c>
      <c r="P105" t="str">
        <f>INDEX(Define!K:K,MATCH(O105,Define!J:J))</f>
        <v>自身</v>
      </c>
      <c r="Q105">
        <v>2</v>
      </c>
      <c r="R105" t="str">
        <f>INDEX(Define!N:N,MATCH(Q105,Define!M:M))</f>
        <v>列</v>
      </c>
      <c r="S105">
        <v>2</v>
      </c>
      <c r="T105">
        <v>1</v>
      </c>
      <c r="U105">
        <v>1</v>
      </c>
      <c r="V105" s="5">
        <v>0</v>
      </c>
    </row>
    <row r="106" spans="1:22">
      <c r="A106">
        <v>100120</v>
      </c>
      <c r="B106">
        <v>100120</v>
      </c>
      <c r="C106" t="str">
        <f>INDEX(TextData!B:B,MATCH(B106,TextData!A:A))</f>
        <v>エターナルロンド</v>
      </c>
      <c r="D106">
        <v>11</v>
      </c>
      <c r="E106" t="str">
        <f>INDEX(Define!X:X,MATCH(D106,Define!W:W))</f>
        <v>覚醒</v>
      </c>
      <c r="F106">
        <v>121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1</v>
      </c>
      <c r="L106" t="str">
        <f>INDEX(Define!E:E,MATCH(K106,Define!D:D))</f>
        <v>炎</v>
      </c>
      <c r="M106">
        <v>4</v>
      </c>
      <c r="N106" t="str">
        <f>INDEX(Define!H:H,MATCH(M106,Define!G:G))</f>
        <v>覚醒</v>
      </c>
      <c r="O106">
        <v>1</v>
      </c>
      <c r="P106" t="str">
        <f>INDEX(Define!K:K,MATCH(O106,Define!J:J))</f>
        <v>相手</v>
      </c>
      <c r="Q106">
        <v>2</v>
      </c>
      <c r="R106" t="str">
        <f>INDEX(Define!N:N,MATCH(Q106,Define!M:M))</f>
        <v>列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100210</v>
      </c>
      <c r="B107">
        <v>100210</v>
      </c>
      <c r="C107" t="str">
        <f>INDEX(TextData!B:B,MATCH(B107,TextData!A:A))</f>
        <v>アブソリュートパリィ</v>
      </c>
      <c r="D107">
        <v>10</v>
      </c>
      <c r="E107" t="str">
        <f>INDEX(Define!X:X,MATCH(D107,Define!W:W))</f>
        <v>半神</v>
      </c>
      <c r="F107">
        <v>51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3</v>
      </c>
      <c r="N107" t="str">
        <f>INDEX(Define!H:H,MATCH(M107,Define!G:G))</f>
        <v>神化</v>
      </c>
      <c r="O107">
        <v>4</v>
      </c>
      <c r="P107" t="str">
        <f>INDEX(Define!K:K,MATCH(O107,Define!J:J))</f>
        <v>自身</v>
      </c>
      <c r="Q107">
        <v>4</v>
      </c>
      <c r="R107" t="str">
        <f>INDEX(Define!N:N,MATCH(Q107,Define!M:M))</f>
        <v>自身</v>
      </c>
      <c r="S107">
        <v>1</v>
      </c>
      <c r="T107">
        <v>1</v>
      </c>
      <c r="U107">
        <v>1</v>
      </c>
      <c r="V107" s="5">
        <v>0</v>
      </c>
    </row>
    <row r="108" spans="1:22">
      <c r="A108">
        <v>100220</v>
      </c>
      <c r="B108">
        <v>100220</v>
      </c>
      <c r="C108" t="str">
        <f>INDEX(TextData!B:B,MATCH(B108,TextData!A:A))</f>
        <v>レヴェリー</v>
      </c>
      <c r="D108">
        <v>11</v>
      </c>
      <c r="E108" t="str">
        <f>INDEX(Define!X:X,MATCH(D108,Define!W:W))</f>
        <v>覚醒</v>
      </c>
      <c r="F108">
        <v>1002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2</v>
      </c>
      <c r="L108" t="str">
        <f>INDEX(Define!E:E,MATCH(K108,Define!D:D))</f>
        <v>雷</v>
      </c>
      <c r="M108">
        <v>4</v>
      </c>
      <c r="N108" t="str">
        <f>INDEX(Define!H:H,MATCH(M108,Define!G:G))</f>
        <v>覚醒</v>
      </c>
      <c r="O108">
        <v>1</v>
      </c>
      <c r="P108" t="str">
        <f>INDEX(Define!K:K,MATCH(O108,Define!J:J))</f>
        <v>相手</v>
      </c>
      <c r="Q108">
        <v>3</v>
      </c>
      <c r="R108" t="str">
        <f>INDEX(Define!N:N,MATCH(Q108,Define!M:M))</f>
        <v>全体</v>
      </c>
      <c r="S108">
        <v>2</v>
      </c>
      <c r="T108">
        <v>7</v>
      </c>
      <c r="U108">
        <v>1</v>
      </c>
      <c r="V108" s="5">
        <v>0</v>
      </c>
    </row>
    <row r="109" spans="1:22">
      <c r="A109">
        <v>100310</v>
      </c>
      <c r="B109">
        <v>100310</v>
      </c>
      <c r="C109" t="str">
        <f>INDEX(TextData!B:B,MATCH(B109,TextData!A:A))</f>
        <v>セイクリッドバリア</v>
      </c>
      <c r="D109">
        <v>10</v>
      </c>
      <c r="E109" t="str">
        <f>INDEX(Define!X:X,MATCH(D109,Define!W:W))</f>
        <v>半神</v>
      </c>
      <c r="F109">
        <v>51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3</v>
      </c>
      <c r="N109" t="str">
        <f>INDEX(Define!H:H,MATCH(M109,Define!G:G))</f>
        <v>神化</v>
      </c>
      <c r="O109">
        <v>2</v>
      </c>
      <c r="P109" t="str">
        <f>INDEX(Define!K:K,MATCH(O109,Define!J:J))</f>
        <v>味方</v>
      </c>
      <c r="Q109">
        <v>3</v>
      </c>
      <c r="R109" t="str">
        <f>INDEX(Define!N:N,MATCH(Q109,Define!M:M))</f>
        <v>全体</v>
      </c>
      <c r="S109">
        <v>2</v>
      </c>
      <c r="T109">
        <v>1</v>
      </c>
      <c r="U109">
        <v>1</v>
      </c>
      <c r="V109" s="5">
        <v>0</v>
      </c>
    </row>
    <row r="110" spans="1:22">
      <c r="A110">
        <v>100320</v>
      </c>
      <c r="B110">
        <v>100320</v>
      </c>
      <c r="C110" t="str">
        <f>INDEX(TextData!B:B,MATCH(B110,TextData!A:A))</f>
        <v>リベンジニードル</v>
      </c>
      <c r="D110">
        <v>11</v>
      </c>
      <c r="E110" t="str">
        <f>INDEX(Define!X:X,MATCH(D110,Define!W:W))</f>
        <v>覚醒</v>
      </c>
      <c r="F110">
        <v>1003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3</v>
      </c>
      <c r="L110" t="str">
        <f>INDEX(Define!E:E,MATCH(K110,Define!D:D))</f>
        <v>氷</v>
      </c>
      <c r="M110">
        <v>4</v>
      </c>
      <c r="N110" t="str">
        <f>INDEX(Define!H:H,MATCH(M110,Define!G:G))</f>
        <v>覚醒</v>
      </c>
      <c r="O110">
        <v>1</v>
      </c>
      <c r="P110" t="str">
        <f>INDEX(Define!K:K,MATCH(O110,Define!J:J))</f>
        <v>相手</v>
      </c>
      <c r="Q110">
        <v>3</v>
      </c>
      <c r="R110" t="str">
        <f>INDEX(Define!N:N,MATCH(Q110,Define!M:M))</f>
        <v>全体</v>
      </c>
      <c r="S110">
        <v>1</v>
      </c>
      <c r="T110">
        <v>1</v>
      </c>
      <c r="U110">
        <v>1</v>
      </c>
      <c r="V110" s="5">
        <v>0</v>
      </c>
    </row>
    <row r="111" spans="1:22">
      <c r="A111">
        <v>100410</v>
      </c>
      <c r="B111">
        <v>100410</v>
      </c>
      <c r="C111" t="str">
        <f>INDEX(TextData!B:B,MATCH(B111,TextData!A:A))</f>
        <v>アバンデンス</v>
      </c>
      <c r="D111">
        <v>10</v>
      </c>
      <c r="E111" t="str">
        <f>INDEX(Define!X:X,MATCH(D111,Define!W:W))</f>
        <v>半神</v>
      </c>
      <c r="F111">
        <v>401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3</v>
      </c>
      <c r="N111" t="str">
        <f>INDEX(Define!H:H,MATCH(M111,Define!G:G))</f>
        <v>神化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0</v>
      </c>
      <c r="V111" s="5">
        <v>0</v>
      </c>
    </row>
    <row r="112" spans="1:22">
      <c r="A112">
        <v>100420</v>
      </c>
      <c r="B112">
        <v>100420</v>
      </c>
      <c r="C112" t="str">
        <f>INDEX(TextData!B:B,MATCH(B112,TextData!A:A))</f>
        <v>ハーヴェスト</v>
      </c>
      <c r="D112">
        <v>11</v>
      </c>
      <c r="E112" t="str">
        <f>INDEX(Define!X:X,MATCH(D112,Define!W:W))</f>
        <v>覚醒</v>
      </c>
      <c r="F112">
        <v>1004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4</v>
      </c>
      <c r="L112" t="str">
        <f>INDEX(Define!E:E,MATCH(K112,Define!D:D))</f>
        <v>光</v>
      </c>
      <c r="M112">
        <v>4</v>
      </c>
      <c r="N112" t="str">
        <f>INDEX(Define!H:H,MATCH(M112,Define!G:G))</f>
        <v>覚醒</v>
      </c>
      <c r="O112">
        <v>2</v>
      </c>
      <c r="P112" t="str">
        <f>INDEX(Define!K:K,MATCH(O112,Define!J:J))</f>
        <v>味方</v>
      </c>
      <c r="Q112">
        <v>3</v>
      </c>
      <c r="R112" t="str">
        <f>INDEX(Define!N:N,MATCH(Q112,Define!M:M))</f>
        <v>全体</v>
      </c>
      <c r="S112">
        <v>2</v>
      </c>
      <c r="T112">
        <v>1</v>
      </c>
      <c r="U112">
        <v>1</v>
      </c>
      <c r="V112" s="5">
        <v>0</v>
      </c>
    </row>
    <row r="113" ht="12" customHeight="1" spans="1:22">
      <c r="A113">
        <v>100510</v>
      </c>
      <c r="B113">
        <v>100510</v>
      </c>
      <c r="C113" t="str">
        <f>INDEX(TextData!B:B,MATCH(B113,TextData!A:A))</f>
        <v>カースドブレイク</v>
      </c>
      <c r="D113">
        <v>10</v>
      </c>
      <c r="E113" t="str">
        <f>INDEX(Define!X:X,MATCH(D113,Define!W:W))</f>
        <v>半神</v>
      </c>
      <c r="F113">
        <v>51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3</v>
      </c>
      <c r="N113" t="str">
        <f>INDEX(Define!H:H,MATCH(M113,Define!G:G))</f>
        <v>神化</v>
      </c>
      <c r="O113">
        <v>4</v>
      </c>
      <c r="P113" t="str">
        <f>INDEX(Define!K:K,MATCH(O113,Define!J:J))</f>
        <v>自身</v>
      </c>
      <c r="Q113">
        <v>4</v>
      </c>
      <c r="R113" t="str">
        <f>INDEX(Define!N:N,MATCH(Q113,Define!M:M))</f>
        <v>自身</v>
      </c>
      <c r="S113">
        <v>1</v>
      </c>
      <c r="T113">
        <v>1</v>
      </c>
      <c r="U113">
        <v>1</v>
      </c>
      <c r="V113" s="5">
        <v>0</v>
      </c>
    </row>
    <row r="114" ht="12" customHeight="1" spans="1:22">
      <c r="A114">
        <v>100520</v>
      </c>
      <c r="B114">
        <v>100520</v>
      </c>
      <c r="C114" t="str">
        <f>INDEX(TextData!B:B,MATCH(B114,TextData!A:A))</f>
        <v>ムーンライトレイ</v>
      </c>
      <c r="D114">
        <v>11</v>
      </c>
      <c r="E114" t="str">
        <f>INDEX(Define!X:X,MATCH(D114,Define!W:W))</f>
        <v>覚醒</v>
      </c>
      <c r="F114">
        <v>1005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5</v>
      </c>
      <c r="L114" t="str">
        <f>INDEX(Define!E:E,MATCH(K114,Define!D:D))</f>
        <v>闇</v>
      </c>
      <c r="M114">
        <v>4</v>
      </c>
      <c r="N114" t="str">
        <f>INDEX(Define!H:H,MATCH(M114,Define!G:G))</f>
        <v>覚醒</v>
      </c>
      <c r="O114">
        <v>1</v>
      </c>
      <c r="P114" t="str">
        <f>INDEX(Define!K:K,MATCH(O114,Define!J:J))</f>
        <v>相手</v>
      </c>
      <c r="Q114">
        <v>3</v>
      </c>
      <c r="R114" t="str">
        <f>INDEX(Define!N:N,MATCH(Q114,Define!M:M))</f>
        <v>全体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100610</v>
      </c>
      <c r="B115">
        <v>100610</v>
      </c>
      <c r="C115" t="str">
        <f>INDEX(TextData!B:B,MATCH(B115,TextData!A:A))</f>
        <v>サンフレイム</v>
      </c>
      <c r="D115">
        <v>10</v>
      </c>
      <c r="E115" t="str">
        <f>INDEX(Define!X:X,MATCH(D115,Define!W:W))</f>
        <v>半神</v>
      </c>
      <c r="F115">
        <v>51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3</v>
      </c>
      <c r="N115" t="str">
        <f>INDEX(Define!H:H,MATCH(M115,Define!G:G))</f>
        <v>神化</v>
      </c>
      <c r="O115">
        <v>4</v>
      </c>
      <c r="P115" t="str">
        <f>INDEX(Define!K:K,MATCH(O115,Define!J:J))</f>
        <v>自身</v>
      </c>
      <c r="Q115">
        <v>31</v>
      </c>
      <c r="R115" t="str">
        <f>INDEX(Define!N:N,MATCH(Q115,Define!M:M))</f>
        <v>単体と両隣</v>
      </c>
      <c r="S115">
        <v>2</v>
      </c>
      <c r="T115">
        <v>1</v>
      </c>
      <c r="U115">
        <v>1</v>
      </c>
      <c r="V115" s="5">
        <v>0</v>
      </c>
    </row>
    <row r="116" spans="1:22">
      <c r="A116">
        <v>100620</v>
      </c>
      <c r="B116">
        <v>100620</v>
      </c>
      <c r="C116" t="str">
        <f>INDEX(TextData!B:B,MATCH(B116,TextData!A:A))</f>
        <v>フレイムタン</v>
      </c>
      <c r="D116">
        <v>11</v>
      </c>
      <c r="E116" t="str">
        <f>INDEX(Define!X:X,MATCH(D116,Define!W:W))</f>
        <v>覚醒</v>
      </c>
      <c r="F116">
        <v>1005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1</v>
      </c>
      <c r="L116" t="str">
        <f>INDEX(Define!E:E,MATCH(K116,Define!D:D))</f>
        <v>炎</v>
      </c>
      <c r="M116">
        <v>4</v>
      </c>
      <c r="N116" t="str">
        <f>INDEX(Define!H:H,MATCH(M116,Define!G:G))</f>
        <v>覚醒</v>
      </c>
      <c r="O116">
        <v>1</v>
      </c>
      <c r="P116" t="str">
        <f>INDEX(Define!K:K,MATCH(O116,Define!J:J))</f>
        <v>相手</v>
      </c>
      <c r="Q116">
        <v>3</v>
      </c>
      <c r="R116" t="str">
        <f>INDEX(Define!N:N,MATCH(Q116,Define!M:M))</f>
        <v>全体</v>
      </c>
      <c r="S116">
        <v>2</v>
      </c>
      <c r="T116">
        <v>1</v>
      </c>
      <c r="U116">
        <v>1</v>
      </c>
      <c r="V116" s="5">
        <v>0</v>
      </c>
    </row>
    <row r="117" ht="12" customHeight="1" spans="1:22">
      <c r="A117">
        <v>100710</v>
      </c>
      <c r="B117">
        <v>100710</v>
      </c>
      <c r="C117" t="str">
        <f>INDEX(TextData!B:B,MATCH(B117,TextData!A:A))</f>
        <v>ライズザフラッグ</v>
      </c>
      <c r="D117">
        <v>10</v>
      </c>
      <c r="E117" t="str">
        <f>INDEX(Define!X:X,MATCH(D117,Define!W:W))</f>
        <v>半神</v>
      </c>
      <c r="F117">
        <v>201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3</v>
      </c>
      <c r="N117" t="str">
        <f>INDEX(Define!H:H,MATCH(M117,Define!G:G))</f>
        <v>神化</v>
      </c>
      <c r="O117">
        <v>4</v>
      </c>
      <c r="P117" t="str">
        <f>INDEX(Define!K:K,MATCH(O117,Define!J:J))</f>
        <v>自身</v>
      </c>
      <c r="Q117">
        <v>4</v>
      </c>
      <c r="R117" t="str">
        <f>INDEX(Define!N:N,MATCH(Q117,Define!M:M))</f>
        <v>自身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100720</v>
      </c>
      <c r="B118">
        <v>100720</v>
      </c>
      <c r="C118" t="str">
        <f>INDEX(TextData!B:B,MATCH(B118,TextData!A:A))</f>
        <v>オーバーリミット</v>
      </c>
      <c r="D118">
        <v>11</v>
      </c>
      <c r="E118" t="str">
        <f>INDEX(Define!X:X,MATCH(D118,Define!W:W))</f>
        <v>覚醒</v>
      </c>
      <c r="F118">
        <v>1005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2</v>
      </c>
      <c r="L118" t="str">
        <f>INDEX(Define!E:E,MATCH(K118,Define!D:D))</f>
        <v>雷</v>
      </c>
      <c r="M118">
        <v>4</v>
      </c>
      <c r="N118" t="str">
        <f>INDEX(Define!H:H,MATCH(M118,Define!G:G))</f>
        <v>覚醒</v>
      </c>
      <c r="O118">
        <v>2</v>
      </c>
      <c r="P118" t="str">
        <f>INDEX(Define!K:K,MATCH(O118,Define!J:J))</f>
        <v>味方</v>
      </c>
      <c r="Q118">
        <v>2</v>
      </c>
      <c r="R118" t="str">
        <f>INDEX(Define!N:N,MATCH(Q118,Define!M:M))</f>
        <v>列</v>
      </c>
      <c r="S118">
        <v>1</v>
      </c>
      <c r="T118">
        <v>1</v>
      </c>
      <c r="U118">
        <v>1</v>
      </c>
      <c r="V118" s="5">
        <v>0</v>
      </c>
    </row>
    <row r="119" ht="12" customHeight="1" spans="1:22">
      <c r="A119">
        <v>100810</v>
      </c>
      <c r="B119">
        <v>100810</v>
      </c>
      <c r="C119" t="str">
        <f>INDEX(TextData!B:B,MATCH(B119,TextData!A:A))</f>
        <v>テンパランス</v>
      </c>
      <c r="D119">
        <v>10</v>
      </c>
      <c r="E119" t="str">
        <f>INDEX(Define!X:X,MATCH(D119,Define!W:W))</f>
        <v>半神</v>
      </c>
      <c r="F119">
        <v>51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3</v>
      </c>
      <c r="N119" t="str">
        <f>INDEX(Define!H:H,MATCH(M119,Define!G:G))</f>
        <v>神化</v>
      </c>
      <c r="O119">
        <v>2</v>
      </c>
      <c r="P119" t="str">
        <f>INDEX(Define!K:K,MATCH(O119,Define!J:J))</f>
        <v>味方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100820</v>
      </c>
      <c r="B120">
        <v>100820</v>
      </c>
      <c r="C120" t="str">
        <f>INDEX(TextData!B:B,MATCH(B120,TextData!A:A))</f>
        <v>シエルクルセイダー</v>
      </c>
      <c r="D120">
        <v>11</v>
      </c>
      <c r="E120" t="str">
        <f>INDEX(Define!X:X,MATCH(D120,Define!W:W))</f>
        <v>覚醒</v>
      </c>
      <c r="F120">
        <v>1005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3</v>
      </c>
      <c r="L120" t="str">
        <f>INDEX(Define!E:E,MATCH(K120,Define!D:D))</f>
        <v>氷</v>
      </c>
      <c r="M120">
        <v>4</v>
      </c>
      <c r="N120" t="str">
        <f>INDEX(Define!H:H,MATCH(M120,Define!G:G))</f>
        <v>覚醒</v>
      </c>
      <c r="O120">
        <v>1</v>
      </c>
      <c r="P120" t="str">
        <f>INDEX(Define!K:K,MATCH(O120,Define!J:J))</f>
        <v>相手</v>
      </c>
      <c r="Q120">
        <v>3</v>
      </c>
      <c r="R120" t="str">
        <f>INDEX(Define!N:N,MATCH(Q120,Define!M:M))</f>
        <v>全体</v>
      </c>
      <c r="S120">
        <v>2</v>
      </c>
      <c r="T120">
        <v>1</v>
      </c>
      <c r="U120">
        <v>1</v>
      </c>
      <c r="V120" s="5">
        <v>0</v>
      </c>
    </row>
    <row r="121" ht="12" customHeight="1" spans="1:22">
      <c r="A121">
        <v>100910</v>
      </c>
      <c r="B121">
        <v>100910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101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3</v>
      </c>
      <c r="N121" t="str">
        <f>INDEX(Define!H:H,MATCH(M121,Define!G:G))</f>
        <v>神化</v>
      </c>
      <c r="O121">
        <v>6</v>
      </c>
      <c r="P121" t="str">
        <f>INDEX(Define!K:K,MATCH(O121,Define!J:J))</f>
        <v>反撃</v>
      </c>
      <c r="Q121">
        <v>1</v>
      </c>
      <c r="R121" t="str">
        <f>INDEX(Define!N:N,MATCH(Q121,Define!M:M))</f>
        <v>単体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100911</v>
      </c>
      <c r="B122">
        <v>100911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51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2</v>
      </c>
      <c r="N122" t="str">
        <f>INDEX(Define!H:H,MATCH(M122,Define!G:G))</f>
        <v>パッシブ</v>
      </c>
      <c r="O122">
        <v>4</v>
      </c>
      <c r="P122" t="str">
        <f>INDEX(Define!K:K,MATCH(O122,Define!J:J))</f>
        <v>自身</v>
      </c>
      <c r="Q122">
        <v>4</v>
      </c>
      <c r="R122" t="str">
        <f>INDEX(Define!N:N,MATCH(Q122,Define!M:M))</f>
        <v>自身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100920</v>
      </c>
      <c r="B123">
        <v>100920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1005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4</v>
      </c>
      <c r="N123" t="str">
        <f>INDEX(Define!H:H,MATCH(M123,Define!G:G))</f>
        <v>覚醒</v>
      </c>
      <c r="O123">
        <v>1</v>
      </c>
      <c r="P123" t="str">
        <f>INDEX(Define!K:K,MATCH(O123,Define!J:J))</f>
        <v>相手</v>
      </c>
      <c r="Q123">
        <v>1</v>
      </c>
      <c r="R123" t="str">
        <f>INDEX(Define!N:N,MATCH(Q123,Define!M:M))</f>
        <v>単体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100921</v>
      </c>
      <c r="B124">
        <v>100921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1</v>
      </c>
      <c r="L124" t="str">
        <f>INDEX(Define!E:E,MATCH(K124,Define!D:D))</f>
        <v>炎</v>
      </c>
      <c r="M124">
        <v>2</v>
      </c>
      <c r="N124" t="str">
        <f>INDEX(Define!H:H,MATCH(M124,Define!G:G))</f>
        <v>パッシブ</v>
      </c>
      <c r="O124">
        <v>4</v>
      </c>
      <c r="P124" t="str">
        <f>INDEX(Define!K:K,MATCH(O124,Define!J:J))</f>
        <v>自身</v>
      </c>
      <c r="Q124">
        <v>4</v>
      </c>
      <c r="R124" t="str">
        <f>INDEX(Define!N:N,MATCH(Q124,Define!M:M))</f>
        <v>自身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101010</v>
      </c>
      <c r="B125">
        <v>101010</v>
      </c>
      <c r="C125" t="str">
        <f>INDEX(TextData!B:B,MATCH(B125,TextData!A:A))</f>
        <v>エウロス</v>
      </c>
      <c r="D125">
        <v>10</v>
      </c>
      <c r="E125" t="str">
        <f>INDEX(Define!X:X,MATCH(D125,Define!W:W))</f>
        <v>半神</v>
      </c>
      <c r="F125">
        <v>51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3</v>
      </c>
      <c r="N125" t="str">
        <f>INDEX(Define!H:H,MATCH(M125,Define!G:G))</f>
        <v>神化</v>
      </c>
      <c r="O125">
        <v>6</v>
      </c>
      <c r="P125" t="str">
        <f>INDEX(Define!K:K,MATCH(O125,Define!J:J))</f>
        <v>反撃</v>
      </c>
      <c r="Q125">
        <v>1</v>
      </c>
      <c r="R125" t="str">
        <f>INDEX(Define!N:N,MATCH(Q125,Define!M:M))</f>
        <v>単体</v>
      </c>
      <c r="S125">
        <v>1</v>
      </c>
      <c r="T125">
        <v>1</v>
      </c>
      <c r="U125">
        <v>1</v>
      </c>
      <c r="V125" s="5">
        <v>0</v>
      </c>
    </row>
    <row r="126" ht="12" customHeight="1" spans="1:22">
      <c r="A126">
        <v>101020</v>
      </c>
      <c r="B126">
        <v>101020</v>
      </c>
      <c r="C126" t="str">
        <f>INDEX(TextData!B:B,MATCH(B126,TextData!A:A))</f>
        <v>ボレアス</v>
      </c>
      <c r="D126">
        <v>11</v>
      </c>
      <c r="E126" t="str">
        <f>INDEX(Define!X:X,MATCH(D126,Define!W:W))</f>
        <v>覚醒</v>
      </c>
      <c r="F126">
        <v>1005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2</v>
      </c>
      <c r="L126" t="str">
        <f>INDEX(Define!E:E,MATCH(K126,Define!D:D))</f>
        <v>雷</v>
      </c>
      <c r="M126">
        <v>4</v>
      </c>
      <c r="N126" t="str">
        <f>INDEX(Define!H:H,MATCH(M126,Define!G:G))</f>
        <v>覚醒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101110</v>
      </c>
      <c r="B127">
        <v>101110</v>
      </c>
      <c r="C127" t="str">
        <f>INDEX(TextData!B:B,MATCH(B127,TextData!A:A))</f>
        <v>アバランシュ</v>
      </c>
      <c r="D127">
        <v>10</v>
      </c>
      <c r="E127" t="str">
        <f>INDEX(Define!X:X,MATCH(D127,Define!W:W))</f>
        <v>半神</v>
      </c>
      <c r="F127">
        <v>301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3</v>
      </c>
      <c r="N127" t="str">
        <f>INDEX(Define!H:H,MATCH(M127,Define!G:G))</f>
        <v>神化</v>
      </c>
      <c r="O127">
        <v>1</v>
      </c>
      <c r="P127" t="str">
        <f>INDEX(Define!K:K,MATCH(O127,Define!J:J))</f>
        <v>相手</v>
      </c>
      <c r="Q127">
        <v>3</v>
      </c>
      <c r="R127" t="str">
        <f>INDEX(Define!N:N,MATCH(Q127,Define!M:M))</f>
        <v>全体</v>
      </c>
      <c r="S127">
        <v>2</v>
      </c>
      <c r="T127">
        <v>1</v>
      </c>
      <c r="U127">
        <v>1</v>
      </c>
      <c r="V127" s="5">
        <v>0</v>
      </c>
    </row>
    <row r="128" ht="12" customHeight="1" spans="1:22">
      <c r="A128">
        <v>101120</v>
      </c>
      <c r="B128">
        <v>101120</v>
      </c>
      <c r="C128" t="str">
        <f>INDEX(TextData!B:B,MATCH(B128,TextData!A:A))</f>
        <v>ブリザードコフィン</v>
      </c>
      <c r="D128">
        <v>11</v>
      </c>
      <c r="E128" t="str">
        <f>INDEX(Define!X:X,MATCH(D128,Define!W:W))</f>
        <v>覚醒</v>
      </c>
      <c r="F128">
        <v>1005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3</v>
      </c>
      <c r="L128" t="str">
        <f>INDEX(Define!E:E,MATCH(K128,Define!D:D))</f>
        <v>氷</v>
      </c>
      <c r="M128">
        <v>4</v>
      </c>
      <c r="N128" t="str">
        <f>INDEX(Define!H:H,MATCH(M128,Define!G:G))</f>
        <v>覚醒</v>
      </c>
      <c r="O128">
        <v>1</v>
      </c>
      <c r="P128" t="str">
        <f>INDEX(Define!K:K,MATCH(O128,Define!J:J))</f>
        <v>相手</v>
      </c>
      <c r="Q128">
        <v>2</v>
      </c>
      <c r="R128" t="str">
        <f>INDEX(Define!N:N,MATCH(Q128,Define!M:M))</f>
        <v>列</v>
      </c>
      <c r="S128">
        <v>2</v>
      </c>
      <c r="T128">
        <v>1</v>
      </c>
      <c r="U128">
        <v>1</v>
      </c>
      <c r="V128" s="5">
        <v>0</v>
      </c>
    </row>
    <row r="129" spans="1:22">
      <c r="A129">
        <v>200210</v>
      </c>
      <c r="B129">
        <v>200210</v>
      </c>
      <c r="C129" t="str">
        <f>INDEX(TextData!B:B,MATCH(B129,TextData!A:A))</f>
        <v>マイトレインフォース</v>
      </c>
      <c r="D129">
        <v>10</v>
      </c>
      <c r="E129" t="str">
        <f>INDEX(Define!X:X,MATCH(D129,Define!W:W))</f>
        <v>半神</v>
      </c>
      <c r="F129">
        <v>51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3</v>
      </c>
      <c r="N129" t="str">
        <f>INDEX(Define!H:H,MATCH(M129,Define!G:G))</f>
        <v>神化</v>
      </c>
      <c r="O129">
        <v>4</v>
      </c>
      <c r="P129" t="str">
        <f>INDEX(Define!K:K,MATCH(O129,Define!J:J))</f>
        <v>自身</v>
      </c>
      <c r="Q129">
        <v>4</v>
      </c>
      <c r="R129" t="str">
        <f>INDEX(Define!N:N,MATCH(Q129,Define!M:M))</f>
        <v>自身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200220</v>
      </c>
      <c r="B130">
        <v>200220</v>
      </c>
      <c r="C130" t="str">
        <f>INDEX(TextData!B:B,MATCH(B130,TextData!A:A))</f>
        <v>カタストロフィ</v>
      </c>
      <c r="D130">
        <v>11</v>
      </c>
      <c r="E130" t="str">
        <f>INDEX(Define!X:X,MATCH(D130,Define!W:W))</f>
        <v>覚醒</v>
      </c>
      <c r="F130">
        <v>101</v>
      </c>
      <c r="G130">
        <v>1</v>
      </c>
      <c r="H130" t="str">
        <f>INDEX(Define!B:B,MATCH(G130,Define!A:A))</f>
        <v>単体</v>
      </c>
      <c r="I130">
        <v>0</v>
      </c>
      <c r="J130">
        <v>1000</v>
      </c>
      <c r="K130">
        <v>1</v>
      </c>
      <c r="L130" t="str">
        <f>INDEX(Define!E:E,MATCH(K130,Define!D:D))</f>
        <v>炎</v>
      </c>
      <c r="M130">
        <v>4</v>
      </c>
      <c r="N130" t="str">
        <f>INDEX(Define!H:H,MATCH(M130,Define!G:G))</f>
        <v>覚醒</v>
      </c>
      <c r="O130">
        <v>1</v>
      </c>
      <c r="P130" t="str">
        <f>INDEX(Define!K:K,MATCH(O130,Define!J:J))</f>
        <v>相手</v>
      </c>
      <c r="Q130">
        <v>1</v>
      </c>
      <c r="R130" t="str">
        <f>INDEX(Define!N:N,MATCH(Q130,Define!M:M))</f>
        <v>単体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200230</v>
      </c>
      <c r="B131">
        <v>200230</v>
      </c>
      <c r="C131" t="str">
        <f>INDEX(TextData!B:B,MATCH(B131,TextData!A:A))</f>
        <v>悪魔(ベリト)</v>
      </c>
      <c r="D131">
        <v>6</v>
      </c>
      <c r="E131" t="str">
        <f>INDEX(Define!X:X,MATCH(D131,Define!W:W))</f>
        <v>自己強化</v>
      </c>
      <c r="F131">
        <v>51</v>
      </c>
      <c r="G131">
        <v>1</v>
      </c>
      <c r="H131" t="str">
        <f>INDEX(Define!B:B,MATCH(G131,Define!A:A))</f>
        <v>単体</v>
      </c>
      <c r="I131">
        <v>0</v>
      </c>
      <c r="J131">
        <v>0</v>
      </c>
      <c r="K131">
        <v>0</v>
      </c>
      <c r="L131" t="str">
        <f>INDEX(Define!E:E,MATCH(K131,Define!D:D))</f>
        <v>なし</v>
      </c>
      <c r="M131">
        <v>2</v>
      </c>
      <c r="N131" t="str">
        <f>INDEX(Define!H:H,MATCH(M131,Define!G:G))</f>
        <v>パッシブ</v>
      </c>
      <c r="O131">
        <v>4</v>
      </c>
      <c r="P131" t="str">
        <f>INDEX(Define!K:K,MATCH(O131,Define!J:J))</f>
        <v>自身</v>
      </c>
      <c r="Q131">
        <v>4</v>
      </c>
      <c r="R131" t="str">
        <f>INDEX(Define!N:N,MATCH(Q131,Define!M:M))</f>
        <v>自身</v>
      </c>
      <c r="S131">
        <v>1</v>
      </c>
      <c r="T131">
        <v>1</v>
      </c>
      <c r="U131">
        <v>1</v>
      </c>
      <c r="V131" s="5">
        <v>0</v>
      </c>
    </row>
    <row r="132" spans="1:22">
      <c r="A132">
        <v>200310</v>
      </c>
      <c r="B132">
        <v>200310</v>
      </c>
      <c r="C132" t="str">
        <f>INDEX(TextData!B:B,MATCH(B132,TextData!A:A))</f>
        <v>プルガシオン</v>
      </c>
      <c r="D132">
        <v>10</v>
      </c>
      <c r="E132" t="str">
        <f>INDEX(Define!X:X,MATCH(D132,Define!W:W))</f>
        <v>半神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3</v>
      </c>
      <c r="N132" t="str">
        <f>INDEX(Define!H:H,MATCH(M132,Define!G:G))</f>
        <v>神化</v>
      </c>
      <c r="O132">
        <v>2</v>
      </c>
      <c r="P132" t="str">
        <f>INDEX(Define!K:K,MATCH(O132,Define!J:J))</f>
        <v>味方</v>
      </c>
      <c r="Q132">
        <v>3</v>
      </c>
      <c r="R132" t="str">
        <f>INDEX(Define!N:N,MATCH(Q132,Define!M:M))</f>
        <v>全体</v>
      </c>
      <c r="S132">
        <v>2</v>
      </c>
      <c r="T132">
        <v>1</v>
      </c>
      <c r="U132">
        <v>1</v>
      </c>
      <c r="V132" s="5">
        <v>0</v>
      </c>
    </row>
    <row r="133" spans="1:22">
      <c r="A133">
        <v>200320</v>
      </c>
      <c r="B133">
        <v>200320</v>
      </c>
      <c r="C133" t="str">
        <f>INDEX(TextData!B:B,MATCH(B133,TextData!A:A))</f>
        <v>プリエステス</v>
      </c>
      <c r="D133">
        <v>11</v>
      </c>
      <c r="E133" t="str">
        <f>INDEX(Define!X:X,MATCH(D133,Define!W:W))</f>
        <v>覚醒</v>
      </c>
      <c r="F133">
        <v>21</v>
      </c>
      <c r="G133">
        <v>1</v>
      </c>
      <c r="H133" t="str">
        <f>INDEX(Define!B:B,MATCH(G133,Define!A:A))</f>
        <v>単体</v>
      </c>
      <c r="I133">
        <v>0</v>
      </c>
      <c r="J133">
        <v>1000</v>
      </c>
      <c r="K133">
        <v>4</v>
      </c>
      <c r="L133" t="str">
        <f>INDEX(Define!E:E,MATCH(K133,Define!D:D))</f>
        <v>光</v>
      </c>
      <c r="M133">
        <v>4</v>
      </c>
      <c r="N133" t="str">
        <f>INDEX(Define!H:H,MATCH(M133,Define!G:G))</f>
        <v>覚醒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200330</v>
      </c>
      <c r="B134">
        <v>200330</v>
      </c>
      <c r="C134" t="str">
        <f>INDEX(TextData!B:B,MATCH(B134,TextData!A:A))</f>
        <v>悪魔(パイモン)</v>
      </c>
      <c r="D134">
        <v>6</v>
      </c>
      <c r="E134" t="str">
        <f>INDEX(Define!X:X,MATCH(D134,Define!W:W))</f>
        <v>自己強化</v>
      </c>
      <c r="F134">
        <v>51</v>
      </c>
      <c r="G134">
        <v>1</v>
      </c>
      <c r="H134" t="str">
        <f>INDEX(Define!B:B,MATCH(G134,Define!A:A))</f>
        <v>単体</v>
      </c>
      <c r="I134">
        <v>0</v>
      </c>
      <c r="J134">
        <v>0</v>
      </c>
      <c r="K134">
        <v>0</v>
      </c>
      <c r="L134" t="str">
        <f>INDEX(Define!E:E,MATCH(K134,Define!D:D))</f>
        <v>なし</v>
      </c>
      <c r="M134">
        <v>2</v>
      </c>
      <c r="N134" t="str">
        <f>INDEX(Define!H:H,MATCH(M134,Define!G:G))</f>
        <v>パッシブ</v>
      </c>
      <c r="O134">
        <v>4</v>
      </c>
      <c r="P134" t="str">
        <f>INDEX(Define!K:K,MATCH(O134,Define!J:J))</f>
        <v>自身</v>
      </c>
      <c r="Q134">
        <v>4</v>
      </c>
      <c r="R134" t="str">
        <f>INDEX(Define!N:N,MATCH(Q134,Define!M:M))</f>
        <v>自身</v>
      </c>
      <c r="S134">
        <v>1</v>
      </c>
      <c r="T134">
        <v>1</v>
      </c>
      <c r="U134">
        <v>1</v>
      </c>
      <c r="V134" s="5">
        <v>0</v>
      </c>
    </row>
    <row r="135" spans="1:22">
      <c r="A135">
        <v>200410</v>
      </c>
      <c r="B135">
        <v>200410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201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3</v>
      </c>
      <c r="N135" t="str">
        <f>INDEX(Define!H:H,MATCH(M135,Define!G:G))</f>
        <v>神化</v>
      </c>
      <c r="O135">
        <v>1</v>
      </c>
      <c r="P135" t="str">
        <f>INDEX(Define!K:K,MATCH(O135,Define!J:J))</f>
        <v>相手</v>
      </c>
      <c r="Q135">
        <v>2</v>
      </c>
      <c r="R135" t="str">
        <f>INDEX(Define!N:N,MATCH(Q135,Define!M:M))</f>
        <v>列</v>
      </c>
      <c r="S135">
        <v>2</v>
      </c>
      <c r="T135">
        <v>1</v>
      </c>
      <c r="U135">
        <v>1</v>
      </c>
      <c r="V135" s="5">
        <v>0</v>
      </c>
    </row>
    <row r="136" spans="1:22">
      <c r="A136">
        <v>200411</v>
      </c>
      <c r="B136">
        <v>200411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51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2</v>
      </c>
      <c r="N136" t="str">
        <f>INDEX(Define!H:H,MATCH(M136,Define!G:G))</f>
        <v>パッシブ</v>
      </c>
      <c r="O136">
        <v>4</v>
      </c>
      <c r="P136" t="str">
        <f>INDEX(Define!K:K,MATCH(O136,Define!J:J))</f>
        <v>自身</v>
      </c>
      <c r="Q136">
        <v>4</v>
      </c>
      <c r="R136" t="str">
        <f>INDEX(Define!N:N,MATCH(Q136,Define!M:M))</f>
        <v>自身</v>
      </c>
      <c r="S136">
        <v>1</v>
      </c>
      <c r="T136">
        <v>1</v>
      </c>
      <c r="U136">
        <v>1</v>
      </c>
      <c r="V136" s="5">
        <v>0</v>
      </c>
    </row>
    <row r="137" spans="1:22">
      <c r="A137">
        <v>200420</v>
      </c>
      <c r="B137">
        <v>200420</v>
      </c>
      <c r="C137" t="str">
        <f>INDEX(TextData!B:B,MATCH(B137,TextData!A:A))</f>
        <v>アンチバフ</v>
      </c>
      <c r="D137">
        <v>11</v>
      </c>
      <c r="E137" t="str">
        <f>INDEX(Define!X:X,MATCH(D137,Define!W:W))</f>
        <v>覚醒</v>
      </c>
      <c r="F137">
        <v>61</v>
      </c>
      <c r="G137">
        <v>1</v>
      </c>
      <c r="H137" t="str">
        <f>INDEX(Define!B:B,MATCH(G137,Define!A:A))</f>
        <v>単体</v>
      </c>
      <c r="I137">
        <v>0</v>
      </c>
      <c r="J137">
        <v>1000</v>
      </c>
      <c r="K137">
        <v>2</v>
      </c>
      <c r="L137" t="str">
        <f>INDEX(Define!E:E,MATCH(K137,Define!D:D))</f>
        <v>雷</v>
      </c>
      <c r="M137">
        <v>4</v>
      </c>
      <c r="N137" t="str">
        <f>INDEX(Define!H:H,MATCH(M137,Define!G:G))</f>
        <v>覚醒</v>
      </c>
      <c r="O137">
        <v>1</v>
      </c>
      <c r="P137" t="str">
        <f>INDEX(Define!K:K,MATCH(O137,Define!J:J))</f>
        <v>相手</v>
      </c>
      <c r="Q137">
        <v>3</v>
      </c>
      <c r="R137" t="str">
        <f>INDEX(Define!N:N,MATCH(Q137,Define!M:M))</f>
        <v>全体</v>
      </c>
      <c r="S137">
        <v>2</v>
      </c>
      <c r="T137">
        <v>1</v>
      </c>
      <c r="U137">
        <v>1</v>
      </c>
      <c r="V137" s="5">
        <v>0</v>
      </c>
    </row>
    <row r="138" spans="1:22">
      <c r="A138">
        <v>200430</v>
      </c>
      <c r="B138">
        <v>200430</v>
      </c>
      <c r="C138" t="str">
        <f>INDEX(TextData!B:B,MATCH(B138,TextData!A:A))</f>
        <v>悪魔(アンドラス)</v>
      </c>
      <c r="D138">
        <v>6</v>
      </c>
      <c r="E138" t="str">
        <f>INDEX(Define!X:X,MATCH(D138,Define!W:W))</f>
        <v>自己強化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0</v>
      </c>
      <c r="K138">
        <v>0</v>
      </c>
      <c r="L138" t="str">
        <f>INDEX(Define!E:E,MATCH(K138,Define!D:D))</f>
        <v>なし</v>
      </c>
      <c r="M138">
        <v>6</v>
      </c>
      <c r="N138" t="str">
        <f>INDEX(Define!H:H,MATCH(M138,Define!G:G))</f>
        <v>強化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200510</v>
      </c>
      <c r="B139">
        <v>200510</v>
      </c>
      <c r="C139" t="str">
        <f>INDEX(TextData!B:B,MATCH(B139,TextData!A:A))</f>
        <v>カウントダウン</v>
      </c>
      <c r="D139">
        <v>10</v>
      </c>
      <c r="E139" t="str">
        <f>INDEX(Define!X:X,MATCH(D139,Define!W:W))</f>
        <v>半神</v>
      </c>
      <c r="F139">
        <v>51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3</v>
      </c>
      <c r="N139" t="str">
        <f>INDEX(Define!H:H,MATCH(M139,Define!G:G))</f>
        <v>神化</v>
      </c>
      <c r="O139">
        <v>4</v>
      </c>
      <c r="P139" t="str">
        <f>INDEX(Define!K:K,MATCH(O139,Define!J:J))</f>
        <v>自身</v>
      </c>
      <c r="Q139">
        <v>4</v>
      </c>
      <c r="R139" t="str">
        <f>INDEX(Define!N:N,MATCH(Q139,Define!M:M))</f>
        <v>自身</v>
      </c>
      <c r="S139">
        <v>1</v>
      </c>
      <c r="T139">
        <v>1</v>
      </c>
      <c r="U139">
        <v>1</v>
      </c>
      <c r="V139" s="5">
        <v>0</v>
      </c>
    </row>
    <row r="140" spans="1:22">
      <c r="A140">
        <v>200520</v>
      </c>
      <c r="B140">
        <v>200520</v>
      </c>
      <c r="C140" t="str">
        <f>INDEX(TextData!B:B,MATCH(B140,TextData!A:A))</f>
        <v>グラウンドゼロ</v>
      </c>
      <c r="D140">
        <v>11</v>
      </c>
      <c r="E140" t="str">
        <f>INDEX(Define!X:X,MATCH(D140,Define!W:W))</f>
        <v>覚醒</v>
      </c>
      <c r="F140">
        <v>301</v>
      </c>
      <c r="G140">
        <v>1</v>
      </c>
      <c r="H140" t="str">
        <f>INDEX(Define!B:B,MATCH(G140,Define!A:A))</f>
        <v>単体</v>
      </c>
      <c r="I140">
        <v>0</v>
      </c>
      <c r="J140">
        <v>1000</v>
      </c>
      <c r="K140">
        <v>3</v>
      </c>
      <c r="L140" t="str">
        <f>INDEX(Define!E:E,MATCH(K140,Define!D:D))</f>
        <v>氷</v>
      </c>
      <c r="M140">
        <v>4</v>
      </c>
      <c r="N140" t="str">
        <f>INDEX(Define!H:H,MATCH(M140,Define!G:G))</f>
        <v>覚醒</v>
      </c>
      <c r="O140">
        <v>1</v>
      </c>
      <c r="P140" t="str">
        <f>INDEX(Define!K:K,MATCH(O140,Define!J:J))</f>
        <v>相手</v>
      </c>
      <c r="Q140">
        <v>3</v>
      </c>
      <c r="R140" t="str">
        <f>INDEX(Define!N:N,MATCH(Q140,Define!M:M))</f>
        <v>全体</v>
      </c>
      <c r="S140">
        <v>2</v>
      </c>
      <c r="T140">
        <v>1</v>
      </c>
      <c r="U140">
        <v>1</v>
      </c>
      <c r="V140" s="5">
        <v>0</v>
      </c>
    </row>
    <row r="141" spans="1:22">
      <c r="A141">
        <v>200530</v>
      </c>
      <c r="B141">
        <v>200530</v>
      </c>
      <c r="C141" t="str">
        <f>INDEX(TextData!B:B,MATCH(B141,TextData!A:A))</f>
        <v>悪魔(ビフロンス)</v>
      </c>
      <c r="D141">
        <v>6</v>
      </c>
      <c r="E141" t="str">
        <f>INDEX(Define!X:X,MATCH(D141,Define!W:W))</f>
        <v>自己強化</v>
      </c>
      <c r="F141">
        <v>51</v>
      </c>
      <c r="G141">
        <v>1</v>
      </c>
      <c r="H141" t="str">
        <f>INDEX(Define!B:B,MATCH(G141,Define!A:A))</f>
        <v>単体</v>
      </c>
      <c r="I141">
        <v>99</v>
      </c>
      <c r="J141">
        <v>0</v>
      </c>
      <c r="K141">
        <v>0</v>
      </c>
      <c r="L141" t="str">
        <f>INDEX(Define!E:E,MATCH(K141,Define!D:D))</f>
        <v>なし</v>
      </c>
      <c r="M141">
        <v>2</v>
      </c>
      <c r="N141" t="str">
        <f>INDEX(Define!H:H,MATCH(M141,Define!G:G))</f>
        <v>パッシブ</v>
      </c>
      <c r="O141">
        <v>4</v>
      </c>
      <c r="P141" t="str">
        <f>INDEX(Define!K:K,MATCH(O141,Define!J:J))</f>
        <v>自身</v>
      </c>
      <c r="Q141">
        <v>4</v>
      </c>
      <c r="R141" t="str">
        <f>INDEX(Define!N:N,MATCH(Q141,Define!M:M))</f>
        <v>自身</v>
      </c>
      <c r="S141">
        <v>1</v>
      </c>
      <c r="T141">
        <v>1</v>
      </c>
      <c r="U141">
        <v>1</v>
      </c>
      <c r="V141" s="5">
        <v>0</v>
      </c>
    </row>
    <row r="142" spans="1:22">
      <c r="A142">
        <v>201010</v>
      </c>
      <c r="B142">
        <v>201010</v>
      </c>
      <c r="C142" t="str">
        <f>INDEX(TextData!B:B,MATCH(B142,TextData!A:A))</f>
        <v>カオスペイン</v>
      </c>
      <c r="D142">
        <v>10</v>
      </c>
      <c r="E142" t="str">
        <f>INDEX(Define!X:X,MATCH(D142,Define!W:W))</f>
        <v>半神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3</v>
      </c>
      <c r="N142" t="str">
        <f>INDEX(Define!H:H,MATCH(M142,Define!G:G))</f>
        <v>神化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201020</v>
      </c>
      <c r="B143">
        <v>201020</v>
      </c>
      <c r="C143" t="str">
        <f>INDEX(TextData!B:B,MATCH(B143,TextData!A:A))</f>
        <v>フォールンワン</v>
      </c>
      <c r="D143">
        <v>11</v>
      </c>
      <c r="E143" t="str">
        <f>INDEX(Define!X:X,MATCH(D143,Define!W:W))</f>
        <v>覚醒</v>
      </c>
      <c r="F143">
        <v>501</v>
      </c>
      <c r="G143">
        <v>1</v>
      </c>
      <c r="H143" t="str">
        <f>INDEX(Define!B:B,MATCH(G143,Define!A:A))</f>
        <v>単体</v>
      </c>
      <c r="I143">
        <v>0</v>
      </c>
      <c r="J143">
        <v>1000</v>
      </c>
      <c r="K143">
        <v>5</v>
      </c>
      <c r="L143" t="str">
        <f>INDEX(Define!E:E,MATCH(K143,Define!D:D))</f>
        <v>闇</v>
      </c>
      <c r="M143">
        <v>4</v>
      </c>
      <c r="N143" t="str">
        <f>INDEX(Define!H:H,MATCH(M143,Define!G:G))</f>
        <v>覚醒</v>
      </c>
      <c r="O143">
        <v>1</v>
      </c>
      <c r="P143" t="str">
        <f>INDEX(Define!K:K,MATCH(O143,Define!J:J))</f>
        <v>相手</v>
      </c>
      <c r="Q143">
        <v>3</v>
      </c>
      <c r="R143" t="str">
        <f>INDEX(Define!N:N,MATCH(Q143,Define!M:M))</f>
        <v>全体</v>
      </c>
      <c r="S143">
        <v>2</v>
      </c>
      <c r="T143">
        <v>1</v>
      </c>
      <c r="U143">
        <v>1</v>
      </c>
      <c r="V143" s="5">
        <v>0</v>
      </c>
    </row>
    <row r="144" spans="1:22">
      <c r="A144">
        <v>201030</v>
      </c>
      <c r="B144">
        <v>201030</v>
      </c>
      <c r="C144" t="str">
        <f>INDEX(TextData!B:B,MATCH(B144,TextData!A:A))</f>
        <v>アンリマユ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0</v>
      </c>
      <c r="K144">
        <v>0</v>
      </c>
      <c r="L144" t="str">
        <f>INDEX(Define!E:E,MATCH(K144,Define!D:D))</f>
        <v>なし</v>
      </c>
      <c r="M144">
        <v>2</v>
      </c>
      <c r="N144" t="str">
        <f>INDEX(Define!H:H,MATCH(M144,Define!G:G))</f>
        <v>パッシブ</v>
      </c>
      <c r="O144">
        <v>4</v>
      </c>
      <c r="P144" t="str">
        <f>INDEX(Define!K:K,MATCH(O144,Define!J:J))</f>
        <v>自身</v>
      </c>
      <c r="Q144">
        <v>4</v>
      </c>
      <c r="R144" t="str">
        <f>INDEX(Define!N:N,MATCH(Q144,Define!M:M))</f>
        <v>自身</v>
      </c>
      <c r="S144">
        <v>1</v>
      </c>
      <c r="T144">
        <v>1</v>
      </c>
      <c r="U144">
        <v>1</v>
      </c>
      <c r="V144" s="5">
        <v>0</v>
      </c>
    </row>
    <row r="145" spans="1:22">
      <c r="A145">
        <v>300010</v>
      </c>
      <c r="B145">
        <v>300010</v>
      </c>
      <c r="C145" t="str">
        <f>INDEX(TextData!B:B,MATCH(B145,TextData!A:A))</f>
        <v>ライフブースト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4</v>
      </c>
      <c r="L145" t="str">
        <f>INDEX(Define!E:E,MATCH(K145,Define!D:D))</f>
        <v>光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300020</v>
      </c>
      <c r="B146">
        <v>300020</v>
      </c>
      <c r="C146" t="str">
        <f>INDEX(TextData!B:B,MATCH(B146,TextData!A:A))</f>
        <v>スピリットチャージ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5</v>
      </c>
      <c r="L146" t="str">
        <f>INDEX(Define!E:E,MATCH(K146,Define!D:D))</f>
        <v>闇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300030</v>
      </c>
      <c r="B147">
        <v>300030</v>
      </c>
      <c r="C147" t="str">
        <f>INDEX(TextData!B:B,MATCH(B147,TextData!A:A))</f>
        <v>フォースライズ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1</v>
      </c>
      <c r="L147" t="str">
        <f>INDEX(Define!E:E,MATCH(K147,Define!D:D))</f>
        <v>炎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300040</v>
      </c>
      <c r="B148">
        <v>300040</v>
      </c>
      <c r="C148" t="str">
        <f>INDEX(TextData!B:B,MATCH(B148,TextData!A:A))</f>
        <v>ディフェンスオーラ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3</v>
      </c>
      <c r="L148" t="str">
        <f>INDEX(Define!E:E,MATCH(K148,Define!D:D))</f>
        <v>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300050</v>
      </c>
      <c r="B149">
        <v>300050</v>
      </c>
      <c r="C149" t="str">
        <f>INDEX(TextData!B:B,MATCH(B149,TextData!A:A))</f>
        <v>ラピッドムーブ</v>
      </c>
      <c r="D149">
        <v>6</v>
      </c>
      <c r="E149" t="str">
        <f>INDEX(Define!X:X,MATCH(D149,Define!W:W))</f>
        <v>自己強化</v>
      </c>
      <c r="F149">
        <v>51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2</v>
      </c>
      <c r="L149" t="str">
        <f>INDEX(Define!E:E,MATCH(K149,Define!D:D))</f>
        <v>雷</v>
      </c>
      <c r="M149">
        <v>5</v>
      </c>
      <c r="N149" t="str">
        <f>INDEX(Define!H:H,MATCH(M149,Define!G:G))</f>
        <v>レリック</v>
      </c>
      <c r="O149">
        <v>2</v>
      </c>
      <c r="P149" t="str">
        <f>INDEX(Define!K:K,MATCH(O149,Define!J:J))</f>
        <v>味方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300130</v>
      </c>
      <c r="B150">
        <v>300130</v>
      </c>
      <c r="C150" t="str">
        <f>INDEX(TextData!B:B,MATCH(B150,TextData!A:A))</f>
        <v>アタックブレイク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300140</v>
      </c>
      <c r="B151">
        <v>300140</v>
      </c>
      <c r="C151" t="str">
        <f>INDEX(TextData!B:B,MATCH(B151,TextData!A:A))</f>
        <v>シールドバニッシュ</v>
      </c>
      <c r="D151">
        <v>6</v>
      </c>
      <c r="E151" t="str">
        <f>INDEX(Define!X:X,MATCH(D151,Define!W:W))</f>
        <v>自己強化</v>
      </c>
      <c r="F151">
        <v>61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5</v>
      </c>
      <c r="L151" t="str">
        <f>INDEX(Define!E:E,MATCH(K151,Define!D:D))</f>
        <v>闇</v>
      </c>
      <c r="M151">
        <v>5</v>
      </c>
      <c r="N151" t="str">
        <f>INDEX(Define!H:H,MATCH(M151,Define!G:G))</f>
        <v>レリック</v>
      </c>
      <c r="O151">
        <v>1</v>
      </c>
      <c r="P151" t="str">
        <f>INDEX(Define!K:K,MATCH(O151,Define!J:J))</f>
        <v>相手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300210</v>
      </c>
      <c r="B152">
        <v>300210</v>
      </c>
      <c r="C152" t="str">
        <f>INDEX(TextData!B:B,MATCH(B152,TextData!A:A))</f>
        <v>エーテルリチャージ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1</v>
      </c>
      <c r="L152" t="str">
        <f>INDEX(Define!E:E,MATCH(K152,Define!D:D))</f>
        <v>炎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300220</v>
      </c>
      <c r="B153">
        <v>300220</v>
      </c>
      <c r="C153" t="str">
        <f>INDEX(TextData!B:B,MATCH(B153,TextData!A:A))</f>
        <v>リカバリーエンハンス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4</v>
      </c>
      <c r="L153" t="str">
        <f>INDEX(Define!E:E,MATCH(K153,Define!D:D))</f>
        <v>光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300230</v>
      </c>
      <c r="B154">
        <v>300230</v>
      </c>
      <c r="C154" t="str">
        <f>INDEX(TextData!B:B,MATCH(B154,TextData!A:A))</f>
        <v>ヴェンジェンス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200</v>
      </c>
      <c r="K154">
        <v>3</v>
      </c>
      <c r="L154" t="str">
        <f>INDEX(Define!E:E,MATCH(K154,Define!D:D))</f>
        <v>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301010</v>
      </c>
      <c r="B155">
        <v>301010</v>
      </c>
      <c r="C155" t="str">
        <f>INDEX(TextData!B:B,MATCH(B155,TextData!A:A))</f>
        <v>ディケイドリセット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2</v>
      </c>
      <c r="L155" t="str">
        <f>INDEX(Define!E:E,MATCH(K155,Define!D:D))</f>
        <v>雷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301020</v>
      </c>
      <c r="B156">
        <v>301020</v>
      </c>
      <c r="C156" t="str">
        <f>INDEX(TextData!B:B,MATCH(B156,TextData!A:A))</f>
        <v>ウォーリアーブラッド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5</v>
      </c>
      <c r="L156" t="str">
        <f>INDEX(Define!E:E,MATCH(K156,Define!D:D))</f>
        <v>闇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301030</v>
      </c>
      <c r="B157">
        <v>301030</v>
      </c>
      <c r="C157" t="str">
        <f>INDEX(TextData!B:B,MATCH(B157,TextData!A:A))</f>
        <v>トライアングルガード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301040</v>
      </c>
      <c r="B158">
        <v>301040</v>
      </c>
      <c r="C158" t="str">
        <f>INDEX(TextData!B:B,MATCH(B158,TextData!A:A))</f>
        <v>セーフティバリア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3</v>
      </c>
      <c r="L158" t="str">
        <f>INDEX(Define!E:E,MATCH(K158,Define!D:D))</f>
        <v>氷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301050</v>
      </c>
      <c r="B159">
        <v>301050</v>
      </c>
      <c r="C159" t="str">
        <f>INDEX(TextData!B:B,MATCH(B159,TextData!A:A))</f>
        <v>ヒロインズハイ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1</v>
      </c>
      <c r="V159" s="5">
        <v>0</v>
      </c>
    </row>
    <row r="160" spans="1:22">
      <c r="A160">
        <v>301060</v>
      </c>
      <c r="B160">
        <v>301060</v>
      </c>
      <c r="C160" t="str">
        <f>INDEX(TextData!B:B,MATCH(B160,TextData!A:A))</f>
        <v>セカンドステージ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0</v>
      </c>
      <c r="V160" s="5">
        <v>0</v>
      </c>
    </row>
    <row r="161" spans="1:22">
      <c r="A161">
        <v>301070</v>
      </c>
      <c r="B161">
        <v>301070</v>
      </c>
      <c r="C161" t="str">
        <f>INDEX(TextData!B:B,MATCH(B161,TextData!A:A))</f>
        <v>ハイヒットポイント</v>
      </c>
      <c r="D161">
        <v>6</v>
      </c>
      <c r="E161" t="str">
        <f>INDEX(Define!X:X,MATCH(D161,Define!W:W))</f>
        <v>自己強化</v>
      </c>
      <c r="F161">
        <v>51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4</v>
      </c>
      <c r="L161" t="str">
        <f>INDEX(Define!E:E,MATCH(K161,Define!D:D))</f>
        <v>光</v>
      </c>
      <c r="M161">
        <v>5</v>
      </c>
      <c r="N161" t="str">
        <f>INDEX(Define!H:H,MATCH(M161,Define!G:G))</f>
        <v>レリック</v>
      </c>
      <c r="O161">
        <v>2</v>
      </c>
      <c r="P161" t="str">
        <f>INDEX(Define!K:K,MATCH(O161,Define!J:J))</f>
        <v>味方</v>
      </c>
      <c r="Q161">
        <v>3</v>
      </c>
      <c r="R161" t="str">
        <f>INDEX(Define!N:N,MATCH(Q161,Define!M:M))</f>
        <v>全体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301080</v>
      </c>
      <c r="B162">
        <v>301080</v>
      </c>
      <c r="C162" t="str">
        <f>INDEX(TextData!B:B,MATCH(B162,TextData!A:A))</f>
        <v>セプタブラスト</v>
      </c>
      <c r="D162">
        <v>6</v>
      </c>
      <c r="E162" t="str">
        <f>INDEX(Define!X:X,MATCH(D162,Define!W:W))</f>
        <v>自己強化</v>
      </c>
      <c r="F162">
        <v>101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1</v>
      </c>
      <c r="L162" t="str">
        <f>INDEX(Define!E:E,MATCH(K162,Define!D:D))</f>
        <v>炎</v>
      </c>
      <c r="M162">
        <v>5</v>
      </c>
      <c r="N162" t="str">
        <f>INDEX(Define!H:H,MATCH(M162,Define!G:G))</f>
        <v>レリック</v>
      </c>
      <c r="O162">
        <v>7</v>
      </c>
      <c r="P162" t="str">
        <f>INDEX(Define!K:K,MATCH(O162,Define!J:J))</f>
        <v>追撃</v>
      </c>
      <c r="Q162">
        <v>1</v>
      </c>
      <c r="R162" t="str">
        <f>INDEX(Define!N:N,MATCH(Q162,Define!M:M))</f>
        <v>単体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301090</v>
      </c>
      <c r="B163">
        <v>301090</v>
      </c>
      <c r="C163" t="str">
        <f>INDEX(TextData!B:B,MATCH(B163,TextData!A:A))</f>
        <v>イニシャルブロッカー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3</v>
      </c>
      <c r="L163" t="str">
        <f>INDEX(Define!E:E,MATCH(K163,Define!D:D))</f>
        <v>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301100</v>
      </c>
      <c r="B164">
        <v>301100</v>
      </c>
      <c r="C164" t="str">
        <f>INDEX(TextData!B:B,MATCH(B164,TextData!A:A))</f>
        <v>ファーストテイク</v>
      </c>
      <c r="D164">
        <v>6</v>
      </c>
      <c r="E164" t="str">
        <f>INDEX(Define!X:X,MATCH(D164,Define!W:W))</f>
        <v>自己強化</v>
      </c>
      <c r="F164">
        <v>51</v>
      </c>
      <c r="G164">
        <v>1</v>
      </c>
      <c r="H164" t="str">
        <f>INDEX(Define!B:B,MATCH(G164,Define!A:A))</f>
        <v>単体</v>
      </c>
      <c r="I164">
        <v>0</v>
      </c>
      <c r="J164">
        <v>210</v>
      </c>
      <c r="K164">
        <v>2</v>
      </c>
      <c r="L164" t="str">
        <f>INDEX(Define!E:E,MATCH(K164,Define!D:D))</f>
        <v>雷</v>
      </c>
      <c r="M164">
        <v>5</v>
      </c>
      <c r="N164" t="str">
        <f>INDEX(Define!H:H,MATCH(M164,Define!G:G))</f>
        <v>レリック</v>
      </c>
      <c r="O164">
        <v>2</v>
      </c>
      <c r="P164" t="str">
        <f>INDEX(Define!K:K,MATCH(O164,Define!J:J))</f>
        <v>味方</v>
      </c>
      <c r="Q164">
        <v>3</v>
      </c>
      <c r="R164" t="str">
        <f>INDEX(Define!N:N,MATCH(Q164,Define!M:M))</f>
        <v>全体</v>
      </c>
      <c r="S164">
        <v>2</v>
      </c>
      <c r="T164">
        <v>1</v>
      </c>
      <c r="U164">
        <v>1</v>
      </c>
      <c r="V164" s="5">
        <v>0</v>
      </c>
    </row>
    <row r="165" spans="1:22">
      <c r="A165">
        <v>401010</v>
      </c>
      <c r="B165">
        <v>401010</v>
      </c>
      <c r="C165" t="str">
        <f>INDEX(TextData!B:B,MATCH(B165,TextData!A:A))</f>
        <v>ファイアボール+</v>
      </c>
      <c r="D165">
        <v>1</v>
      </c>
      <c r="E165" t="str">
        <f>INDEX(Define!X:X,MATCH(D165,Define!W:W))</f>
        <v>元素</v>
      </c>
      <c r="F165">
        <v>101</v>
      </c>
      <c r="G165">
        <v>1</v>
      </c>
      <c r="H165" t="str">
        <f>INDEX(Define!B:B,MATCH(G165,Define!A:A))</f>
        <v>単体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401020</v>
      </c>
      <c r="B166">
        <v>401020</v>
      </c>
      <c r="C166" t="str">
        <f>INDEX(TextData!B:B,MATCH(B166,TextData!A:A))</f>
        <v>バーンストーム+</v>
      </c>
      <c r="D166">
        <v>1</v>
      </c>
      <c r="E166" t="str">
        <f>INDEX(Define!X:X,MATCH(D166,Define!W:W))</f>
        <v>元素</v>
      </c>
      <c r="F166">
        <v>101</v>
      </c>
      <c r="G166">
        <v>2</v>
      </c>
      <c r="H166" t="str">
        <f>INDEX(Define!B:B,MATCH(G166,Define!A:A))</f>
        <v>列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401030</v>
      </c>
      <c r="B167">
        <v>401030</v>
      </c>
      <c r="C167" t="str">
        <f>INDEX(TextData!B:B,MATCH(B167,TextData!A:A))</f>
        <v>ヒートスタンプ+</v>
      </c>
      <c r="D167">
        <v>2</v>
      </c>
      <c r="E167" t="str">
        <f>INDEX(Define!X:X,MATCH(D167,Define!W:W))</f>
        <v>光</v>
      </c>
      <c r="F167">
        <v>21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spans="1:22">
      <c r="A168">
        <v>401040</v>
      </c>
      <c r="B168">
        <v>401040</v>
      </c>
      <c r="C168" t="str">
        <f>INDEX(TextData!B:B,MATCH(B168,TextData!A:A))</f>
        <v>ソードアダプト+</v>
      </c>
      <c r="D168">
        <v>4</v>
      </c>
      <c r="E168" t="str">
        <f>INDEX(Define!X:X,MATCH(D168,Define!W:W))</f>
        <v>精神</v>
      </c>
      <c r="F168">
        <v>51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401050</v>
      </c>
      <c r="B169">
        <v>401050</v>
      </c>
      <c r="C169" t="str">
        <f>INDEX(TextData!B:B,MATCH(B169,TextData!A:A))</f>
        <v>フレイムレイン+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401060</v>
      </c>
      <c r="B170">
        <v>401060</v>
      </c>
      <c r="C170" t="str">
        <f>INDEX(TextData!B:B,MATCH(B170,TextData!A:A))</f>
        <v>イクスティンクション+</v>
      </c>
      <c r="D170">
        <v>1</v>
      </c>
      <c r="E170" t="str">
        <f>INDEX(Define!X:X,MATCH(D170,Define!W:W))</f>
        <v>元素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401070</v>
      </c>
      <c r="B171">
        <v>401070</v>
      </c>
      <c r="C171" t="str">
        <f>INDEX(TextData!B:B,MATCH(B171,TextData!A:A))</f>
        <v>バーニングソウル+</v>
      </c>
      <c r="D171">
        <v>2</v>
      </c>
      <c r="E171" t="str">
        <f>INDEX(Define!X:X,MATCH(D171,Define!W:W))</f>
        <v>光</v>
      </c>
      <c r="F171">
        <v>101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ht="12" customHeight="1" spans="1:22">
      <c r="A172">
        <v>401080</v>
      </c>
      <c r="B172">
        <v>401080</v>
      </c>
      <c r="C172" t="str">
        <f>INDEX(TextData!B:B,MATCH(B172,TextData!A:A))</f>
        <v>レイジングバウンサー+</v>
      </c>
      <c r="D172">
        <v>1</v>
      </c>
      <c r="E172" t="str">
        <f>INDEX(Define!X:X,MATCH(D172,Define!W:W))</f>
        <v>元素</v>
      </c>
      <c r="F172">
        <v>51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1</v>
      </c>
      <c r="L172" t="str">
        <f>INDEX(Define!E:E,MATCH(K172,Define!D:D))</f>
        <v>炎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402010</v>
      </c>
      <c r="B173">
        <v>402010</v>
      </c>
      <c r="C173" t="str">
        <f>INDEX(TextData!B:B,MATCH(B173,TextData!A:A))</f>
        <v>ディスチャージ+</v>
      </c>
      <c r="D173">
        <v>1</v>
      </c>
      <c r="E173" t="str">
        <f>INDEX(Define!X:X,MATCH(D173,Define!W:W))</f>
        <v>元素</v>
      </c>
      <c r="F173">
        <v>201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402020</v>
      </c>
      <c r="B174">
        <v>402020</v>
      </c>
      <c r="C174" t="str">
        <f>INDEX(TextData!B:B,MATCH(B174,TextData!A:A))</f>
        <v>イベイドコード+</v>
      </c>
      <c r="D174">
        <v>4</v>
      </c>
      <c r="E174" t="str">
        <f>INDEX(Define!X:X,MATCH(D174,Define!W:W))</f>
        <v>精神</v>
      </c>
      <c r="F174">
        <v>51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pans="1:22">
      <c r="A175">
        <v>402030</v>
      </c>
      <c r="B175">
        <v>402030</v>
      </c>
      <c r="C175" t="str">
        <f>INDEX(TextData!B:B,MATCH(B175,TextData!A:A))</f>
        <v>ショックインパルス+</v>
      </c>
      <c r="D175">
        <v>3</v>
      </c>
      <c r="E175" t="str">
        <f>INDEX(Define!X:X,MATCH(D175,Define!W:W))</f>
        <v>理術</v>
      </c>
      <c r="F175">
        <v>201</v>
      </c>
      <c r="G175">
        <v>1</v>
      </c>
      <c r="H175" t="str">
        <f>INDEX(Define!B:B,MATCH(G175,Define!A:A))</f>
        <v>単体</v>
      </c>
      <c r="I175">
        <v>0</v>
      </c>
      <c r="J175">
        <v>120</v>
      </c>
      <c r="K175">
        <v>2</v>
      </c>
      <c r="L175" t="str">
        <f>INDEX(Define!E:E,MATCH(K175,Define!D:D))</f>
        <v>雷</v>
      </c>
      <c r="M175">
        <v>6</v>
      </c>
      <c r="N175" t="str">
        <f>INDEX(Define!H:H,MATCH(M175,Define!G:G))</f>
        <v>強化</v>
      </c>
      <c r="O175">
        <v>4</v>
      </c>
      <c r="P175" t="str">
        <f>INDEX(Define!K:K,MATCH(O175,Define!J:J))</f>
        <v>自身</v>
      </c>
      <c r="Q175">
        <v>4</v>
      </c>
      <c r="R17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="5" customFormat="1" spans="1:22">
      <c r="A176">
        <v>402040</v>
      </c>
      <c r="B176">
        <v>402040</v>
      </c>
      <c r="C176" s="5" t="str">
        <f>INDEX(TextData!B:B,MATCH(B176,TextData!A:A))</f>
        <v>トラストチェイン+</v>
      </c>
      <c r="D176" s="5">
        <v>1</v>
      </c>
      <c r="E176" s="5" t="str">
        <f>INDEX(Define!X:X,MATCH(D176,Define!W:W))</f>
        <v>元素</v>
      </c>
      <c r="F176" s="5">
        <v>51</v>
      </c>
      <c r="G176" s="5">
        <v>1</v>
      </c>
      <c r="H176" s="5" t="str">
        <f>INDEX(Define!B:B,MATCH(G176,Define!A:A))</f>
        <v>単体</v>
      </c>
      <c r="I176">
        <v>0</v>
      </c>
      <c r="J176">
        <v>120</v>
      </c>
      <c r="K176" s="5">
        <v>2</v>
      </c>
      <c r="L176" s="5" t="str">
        <f>INDEX(Define!E:E,MATCH(K176,Define!D:D))</f>
        <v>雷</v>
      </c>
      <c r="M176">
        <v>6</v>
      </c>
      <c r="N176" s="5" t="str">
        <f>INDEX(Define!H:H,MATCH(M176,Define!G:G))</f>
        <v>強化</v>
      </c>
      <c r="O176">
        <v>4</v>
      </c>
      <c r="P176" s="5" t="str">
        <f>INDEX(Define!K:K,MATCH(O176,Define!J:J))</f>
        <v>自身</v>
      </c>
      <c r="Q176">
        <v>4</v>
      </c>
      <c r="R176" s="5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402050</v>
      </c>
      <c r="B177">
        <v>402050</v>
      </c>
      <c r="C177" t="str">
        <f>INDEX(TextData!B:B,MATCH(B177,TextData!A:A))</f>
        <v>スペルバニシング+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402060</v>
      </c>
      <c r="B178">
        <v>402060</v>
      </c>
      <c r="C178" t="str">
        <f>INDEX(TextData!B:B,MATCH(B178,TextData!A:A))</f>
        <v>アーテニーストライク+</v>
      </c>
      <c r="D178">
        <v>1</v>
      </c>
      <c r="E178" t="str">
        <f>INDEX(Define!X:X,MATCH(D178,Define!W:W))</f>
        <v>元素</v>
      </c>
      <c r="F178">
        <v>201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402070</v>
      </c>
      <c r="B179">
        <v>402070</v>
      </c>
      <c r="C179" t="str">
        <f>INDEX(TextData!B:B,MATCH(B179,TextData!A:A))</f>
        <v>コンセントレイト+</v>
      </c>
      <c r="D179">
        <v>3</v>
      </c>
      <c r="E179" t="str">
        <f>INDEX(Define!X:X,MATCH(D179,Define!W:W))</f>
        <v>理術</v>
      </c>
      <c r="F179">
        <v>51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402080</v>
      </c>
      <c r="B180">
        <v>402080</v>
      </c>
      <c r="C180" t="str">
        <f>INDEX(TextData!B:B,MATCH(B180,TextData!A:A))</f>
        <v>ディレイマジック+</v>
      </c>
      <c r="D180">
        <v>5</v>
      </c>
      <c r="E180" t="str">
        <f>INDEX(Define!X:X,MATCH(D180,Define!W:W))</f>
        <v>超次元</v>
      </c>
      <c r="F180">
        <v>201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2</v>
      </c>
      <c r="L180" t="str">
        <f>INDEX(Define!E:E,MATCH(K180,Define!D:D))</f>
        <v>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403010</v>
      </c>
      <c r="B181">
        <v>403010</v>
      </c>
      <c r="C181" t="str">
        <f>INDEX(TextData!B:B,MATCH(B181,TextData!A:A))</f>
        <v>アイスブレイド+</v>
      </c>
      <c r="D181">
        <v>1</v>
      </c>
      <c r="E181" t="str">
        <f>INDEX(Define!X:X,MATCH(D181,Define!W:W))</f>
        <v>元素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spans="1:22">
      <c r="A182">
        <v>403020</v>
      </c>
      <c r="B182">
        <v>403020</v>
      </c>
      <c r="C182" t="str">
        <f>INDEX(TextData!B:B,MATCH(B182,TextData!A:A))</f>
        <v>カウンターオーラ+</v>
      </c>
      <c r="D182">
        <v>2</v>
      </c>
      <c r="E182" t="str">
        <f>INDEX(Define!X:X,MATCH(D182,Define!W:W))</f>
        <v>光</v>
      </c>
      <c r="F182">
        <v>301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customFormat="1" spans="1:22">
      <c r="A183">
        <v>403030</v>
      </c>
      <c r="B183">
        <v>403030</v>
      </c>
      <c r="C183" t="str">
        <f>INDEX(TextData!B:B,MATCH(B183,TextData!A:A))</f>
        <v>ラインプロテクト+</v>
      </c>
      <c r="D183">
        <v>4</v>
      </c>
      <c r="E183" t="str">
        <f>INDEX(Define!X:X,MATCH(D183,Define!W:W))</f>
        <v>精神</v>
      </c>
      <c r="F183">
        <v>51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403040</v>
      </c>
      <c r="B184">
        <v>403040</v>
      </c>
      <c r="C184" t="str">
        <f>INDEX(TextData!B:B,MATCH(B184,TextData!A:A))</f>
        <v>エスコートソール+</v>
      </c>
      <c r="D184">
        <v>3</v>
      </c>
      <c r="E184" t="str">
        <f>INDEX(Define!X:X,MATCH(D184,Define!W:W))</f>
        <v>理術</v>
      </c>
      <c r="F184">
        <v>61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403050</v>
      </c>
      <c r="B185">
        <v>403050</v>
      </c>
      <c r="C185" t="str">
        <f>INDEX(TextData!B:B,MATCH(B185,TextData!A:A))</f>
        <v>ディープフリーズ+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403060</v>
      </c>
      <c r="B186">
        <v>403060</v>
      </c>
      <c r="C186" t="str">
        <f>INDEX(TextData!B:B,MATCH(B186,TextData!A:A))</f>
        <v>バブルブロウ+</v>
      </c>
      <c r="D186">
        <v>3</v>
      </c>
      <c r="E186" t="str">
        <f>INDEX(Define!X:X,MATCH(D186,Define!W:W))</f>
        <v>理術</v>
      </c>
      <c r="F186">
        <v>301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403070</v>
      </c>
      <c r="B187">
        <v>403070</v>
      </c>
      <c r="C187" t="str">
        <f>INDEX(TextData!B:B,MATCH(B187,TextData!A:A))</f>
        <v>アクアミラージュ+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spans="1:22">
      <c r="A188">
        <v>403080</v>
      </c>
      <c r="B188">
        <v>403080</v>
      </c>
      <c r="C188" t="str">
        <f>INDEX(TextData!B:B,MATCH(B188,TextData!A:A))</f>
        <v>フロストシールド+</v>
      </c>
      <c r="D188">
        <v>4</v>
      </c>
      <c r="E188" t="str">
        <f>INDEX(Define!X:X,MATCH(D188,Define!W:W))</f>
        <v>精神</v>
      </c>
      <c r="F188">
        <v>51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3</v>
      </c>
      <c r="L188" t="str">
        <f>INDEX(Define!E:E,MATCH(K188,Define!D:D))</f>
        <v>氷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ht="12" customHeight="1" spans="1:22">
      <c r="A189">
        <v>404010</v>
      </c>
      <c r="B189">
        <v>404010</v>
      </c>
      <c r="C189" t="str">
        <f>INDEX(TextData!B:B,MATCH(B189,TextData!A:A))</f>
        <v>セイントレーザー+</v>
      </c>
      <c r="D189">
        <v>1</v>
      </c>
      <c r="E189" t="str">
        <f>INDEX(Define!X:X,MATCH(D189,Define!W:W))</f>
        <v>元素</v>
      </c>
      <c r="F189">
        <v>401</v>
      </c>
      <c r="G189">
        <v>1</v>
      </c>
      <c r="H189" t="str">
        <f>INDEX(Define!B:B,MATCH(G189,Define!A:A))</f>
        <v>単体</v>
      </c>
      <c r="I189">
        <v>0</v>
      </c>
      <c r="J189">
        <v>120</v>
      </c>
      <c r="K189">
        <v>4</v>
      </c>
      <c r="L189" t="str">
        <f>INDEX(Define!E:E,MATCH(K189,Define!D:D))</f>
        <v>光</v>
      </c>
      <c r="M189">
        <v>6</v>
      </c>
      <c r="N189" t="str">
        <f>INDEX(Define!H:H,MATCH(M189,Define!G:G))</f>
        <v>強化</v>
      </c>
      <c r="O189">
        <v>4</v>
      </c>
      <c r="P189" t="str">
        <f>INDEX(Define!K:K,MATCH(O189,Define!J:J))</f>
        <v>自身</v>
      </c>
      <c r="Q189">
        <v>4</v>
      </c>
      <c r="R189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s="5" customFormat="1" ht="12" customHeight="1" spans="1:22">
      <c r="A190">
        <v>404020</v>
      </c>
      <c r="B190">
        <v>404020</v>
      </c>
      <c r="C190" s="5" t="str">
        <f>INDEX(TextData!B:B,MATCH(B190,TextData!A:A))</f>
        <v>ペネトレイト+</v>
      </c>
      <c r="D190" s="5">
        <v>1</v>
      </c>
      <c r="E190" s="5" t="str">
        <f>INDEX(Define!X:X,MATCH(D190,Define!W:W))</f>
        <v>元素</v>
      </c>
      <c r="F190" s="5">
        <v>401</v>
      </c>
      <c r="G190" s="5">
        <v>1</v>
      </c>
      <c r="H190" s="5" t="str">
        <f>INDEX(Define!B:B,MATCH(G190,Define!A:A))</f>
        <v>単体</v>
      </c>
      <c r="I190">
        <v>0</v>
      </c>
      <c r="J190">
        <v>120</v>
      </c>
      <c r="K190" s="5">
        <v>4</v>
      </c>
      <c r="L190" s="5" t="str">
        <f>INDEX(Define!E:E,MATCH(K190,Define!D:D))</f>
        <v>光</v>
      </c>
      <c r="M190">
        <v>6</v>
      </c>
      <c r="N190" s="5" t="str">
        <f>INDEX(Define!H:H,MATCH(M190,Define!G:G))</f>
        <v>強化</v>
      </c>
      <c r="O190">
        <v>4</v>
      </c>
      <c r="P190" s="5" t="str">
        <f>INDEX(Define!K:K,MATCH(O190,Define!J:J))</f>
        <v>自身</v>
      </c>
      <c r="Q190">
        <v>4</v>
      </c>
      <c r="R190" s="5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ht="12" customHeight="1" spans="1:22">
      <c r="A191">
        <v>404030</v>
      </c>
      <c r="B191">
        <v>404030</v>
      </c>
      <c r="C191" t="str">
        <f>INDEX(TextData!B:B,MATCH(B191,TextData!A:A))</f>
        <v>ヒーリング+</v>
      </c>
      <c r="D191">
        <v>2</v>
      </c>
      <c r="E191" t="str">
        <f>INDEX(Define!X:X,MATCH(D191,Define!W:W))</f>
        <v>光</v>
      </c>
      <c r="F191">
        <v>21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customFormat="1" spans="1:22">
      <c r="A192">
        <v>404040</v>
      </c>
      <c r="B192">
        <v>404040</v>
      </c>
      <c r="C192" t="str">
        <f>INDEX(TextData!B:B,MATCH(B192,TextData!A:A))</f>
        <v>リザイアフォトン+</v>
      </c>
      <c r="D192">
        <v>2</v>
      </c>
      <c r="E192" t="str">
        <f>INDEX(Define!X:X,MATCH(D192,Define!W:W))</f>
        <v>光</v>
      </c>
      <c r="F192">
        <v>401</v>
      </c>
      <c r="G192">
        <v>1</v>
      </c>
      <c r="H192" t="str">
        <f>INDEX(Define!B:B,MATCH(G192,Define!A:A))</f>
        <v>単体</v>
      </c>
      <c r="I192">
        <v>0</v>
      </c>
      <c r="J192">
        <v>120</v>
      </c>
      <c r="K192">
        <v>4</v>
      </c>
      <c r="L192" t="str">
        <f>INDEX(Define!E:E,MATCH(K192,Define!D:D))</f>
        <v>光</v>
      </c>
      <c r="M192">
        <v>6</v>
      </c>
      <c r="N192" t="str">
        <f>INDEX(Define!H:H,MATCH(M192,Define!G:G))</f>
        <v>強化</v>
      </c>
      <c r="O192">
        <v>4</v>
      </c>
      <c r="P192" t="str">
        <f>INDEX(Define!K:K,MATCH(O192,Define!J:J))</f>
        <v>自身</v>
      </c>
      <c r="Q192">
        <v>4</v>
      </c>
      <c r="R192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="5" customFormat="1" ht="12" customHeight="1" spans="1:22">
      <c r="A193">
        <v>404050</v>
      </c>
      <c r="B193">
        <v>404050</v>
      </c>
      <c r="C193" s="5" t="str">
        <f>INDEX(TextData!B:B,MATCH(B193,TextData!A:A))</f>
        <v>べネディクション+</v>
      </c>
      <c r="D193" s="5">
        <v>2</v>
      </c>
      <c r="E193" s="5" t="str">
        <f>INDEX(Define!X:X,MATCH(D193,Define!W:W))</f>
        <v>光</v>
      </c>
      <c r="F193" s="5">
        <v>21</v>
      </c>
      <c r="G193" s="5">
        <v>1</v>
      </c>
      <c r="H193" s="5" t="str">
        <f>INDEX(Define!B:B,MATCH(G193,Define!A:A))</f>
        <v>単体</v>
      </c>
      <c r="I193">
        <v>0</v>
      </c>
      <c r="J193">
        <v>120</v>
      </c>
      <c r="K193" s="5">
        <v>4</v>
      </c>
      <c r="L193" s="5" t="str">
        <f>INDEX(Define!E:E,MATCH(K193,Define!D:D))</f>
        <v>光</v>
      </c>
      <c r="M193">
        <v>6</v>
      </c>
      <c r="N193" s="5" t="str">
        <f>INDEX(Define!H:H,MATCH(M193,Define!G:G))</f>
        <v>強化</v>
      </c>
      <c r="O193">
        <v>4</v>
      </c>
      <c r="P193" s="5" t="str">
        <f>INDEX(Define!K:K,MATCH(O193,Define!J:J))</f>
        <v>自身</v>
      </c>
      <c r="Q193">
        <v>4</v>
      </c>
      <c r="R193" s="5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404060</v>
      </c>
      <c r="B194">
        <v>404060</v>
      </c>
      <c r="C194" t="str">
        <f>INDEX(TextData!B:B,MATCH(B194,TextData!A:A))</f>
        <v>ホーリーグレイス+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404070</v>
      </c>
      <c r="B195">
        <v>404070</v>
      </c>
      <c r="C195" t="str">
        <f>INDEX(TextData!B:B,MATCH(B195,TextData!A:A))</f>
        <v>キュアエール+</v>
      </c>
      <c r="D195">
        <v>2</v>
      </c>
      <c r="E195" t="str">
        <f>INDEX(Define!X:X,MATCH(D195,Define!W:W))</f>
        <v>光</v>
      </c>
      <c r="F195">
        <v>21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spans="1:22">
      <c r="A196">
        <v>404080</v>
      </c>
      <c r="B196">
        <v>404080</v>
      </c>
      <c r="C196" t="str">
        <f>INDEX(TextData!B:B,MATCH(B196,TextData!A:A))</f>
        <v>ラインバリア+</v>
      </c>
      <c r="D196">
        <v>2</v>
      </c>
      <c r="E196" t="str">
        <f>INDEX(Define!X:X,MATCH(D196,Define!W:W))</f>
        <v>光</v>
      </c>
      <c r="F196">
        <v>51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4</v>
      </c>
      <c r="L196" t="str">
        <f>INDEX(Define!E:E,MATCH(K196,Define!D:D))</f>
        <v>光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405010</v>
      </c>
      <c r="B197">
        <v>405010</v>
      </c>
      <c r="C197" t="str">
        <f>INDEX(TextData!B:B,MATCH(B197,TextData!A:A))</f>
        <v>ダークプリズン+</v>
      </c>
      <c r="D197">
        <v>5</v>
      </c>
      <c r="E197" t="str">
        <f>INDEX(Define!X:X,MATCH(D197,Define!W:W))</f>
        <v>超次元</v>
      </c>
      <c r="F197">
        <v>501</v>
      </c>
      <c r="G197">
        <v>1</v>
      </c>
      <c r="H197" t="str">
        <f>INDEX(Define!B:B,MATCH(G197,Define!A:A))</f>
        <v>単体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405020</v>
      </c>
      <c r="B198">
        <v>405020</v>
      </c>
      <c r="C198" t="str">
        <f>INDEX(TextData!B:B,MATCH(B198,TextData!A:A))</f>
        <v>ユーサネイジア+</v>
      </c>
      <c r="D198">
        <v>5</v>
      </c>
      <c r="E198" t="str">
        <f>INDEX(Define!X:X,MATCH(D198,Define!W:W))</f>
        <v>超次元</v>
      </c>
      <c r="F198">
        <v>501</v>
      </c>
      <c r="G198">
        <v>3</v>
      </c>
      <c r="H198" t="str">
        <f>INDEX(Define!B:B,MATCH(G198,Define!A:A))</f>
        <v>全体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405030</v>
      </c>
      <c r="B199">
        <v>405030</v>
      </c>
      <c r="C199" t="str">
        <f>INDEX(TextData!B:B,MATCH(B199,TextData!A:A))</f>
        <v>ドレインヒール+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ht="12" customHeight="1" spans="1:22">
      <c r="A200">
        <v>405040</v>
      </c>
      <c r="B200">
        <v>405040</v>
      </c>
      <c r="C200" t="str">
        <f>INDEX(TextData!B:B,MATCH(B200,TextData!A:A))</f>
        <v>アビサルデスペア+</v>
      </c>
      <c r="D200">
        <v>5</v>
      </c>
      <c r="E200" t="str">
        <f>INDEX(Define!X:X,MATCH(D200,Define!W:W))</f>
        <v>超次元</v>
      </c>
      <c r="F200">
        <v>501</v>
      </c>
      <c r="G200">
        <v>1</v>
      </c>
      <c r="H200" t="str">
        <f>INDEX(Define!B:B,MATCH(G200,Define!A:A))</f>
        <v>単体</v>
      </c>
      <c r="I200">
        <v>0</v>
      </c>
      <c r="J200">
        <v>120</v>
      </c>
      <c r="K200">
        <v>5</v>
      </c>
      <c r="L200" t="str">
        <f>INDEX(Define!E:E,MATCH(K200,Define!D:D))</f>
        <v>闇</v>
      </c>
      <c r="M200">
        <v>6</v>
      </c>
      <c r="N200" t="str">
        <f>INDEX(Define!H:H,MATCH(M200,Define!G:G))</f>
        <v>強化</v>
      </c>
      <c r="O200">
        <v>4</v>
      </c>
      <c r="P200" t="str">
        <f>INDEX(Define!K:K,MATCH(O200,Define!J:J))</f>
        <v>自身</v>
      </c>
      <c r="Q200">
        <v>4</v>
      </c>
      <c r="R200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s="5" customFormat="1" ht="12" customHeight="1" spans="1:22">
      <c r="A201">
        <v>405050</v>
      </c>
      <c r="B201">
        <v>405050</v>
      </c>
      <c r="C201" s="5" t="str">
        <f>INDEX(TextData!B:B,MATCH(B201,TextData!A:A))</f>
        <v>ディプラヴィティ+</v>
      </c>
      <c r="D201" s="5">
        <v>3</v>
      </c>
      <c r="E201" s="5" t="str">
        <f>INDEX(Define!X:X,MATCH(D201,Define!W:W))</f>
        <v>理術</v>
      </c>
      <c r="F201" s="5">
        <v>501</v>
      </c>
      <c r="G201" s="5">
        <v>1</v>
      </c>
      <c r="H201" s="5" t="str">
        <f>INDEX(Define!B:B,MATCH(G201,Define!A:A))</f>
        <v>単体</v>
      </c>
      <c r="I201">
        <v>0</v>
      </c>
      <c r="J201">
        <v>120</v>
      </c>
      <c r="K201" s="5">
        <v>5</v>
      </c>
      <c r="L201" s="5" t="str">
        <f>INDEX(Define!E:E,MATCH(K201,Define!D:D))</f>
        <v>闇</v>
      </c>
      <c r="M201">
        <v>6</v>
      </c>
      <c r="N201" s="5" t="str">
        <f>INDEX(Define!H:H,MATCH(M201,Define!G:G))</f>
        <v>強化</v>
      </c>
      <c r="O201">
        <v>4</v>
      </c>
      <c r="P201" s="5" t="str">
        <f>INDEX(Define!K:K,MATCH(O201,Define!J:J))</f>
        <v>自身</v>
      </c>
      <c r="Q201">
        <v>4</v>
      </c>
      <c r="R201" s="5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405060</v>
      </c>
      <c r="B202">
        <v>405060</v>
      </c>
      <c r="C202" t="str">
        <f>INDEX(TextData!B:B,MATCH(B202,TextData!A:A))</f>
        <v>ダークネス+</v>
      </c>
      <c r="D202">
        <v>3</v>
      </c>
      <c r="E202" t="str">
        <f>INDEX(Define!X:X,MATCH(D202,Define!W:W))</f>
        <v>理術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405070</v>
      </c>
      <c r="B203">
        <v>405070</v>
      </c>
      <c r="C203" t="str">
        <f>INDEX(TextData!B:B,MATCH(B203,TextData!A:A))</f>
        <v>シェイディークラウド+</v>
      </c>
      <c r="D203">
        <v>5</v>
      </c>
      <c r="E203" t="str">
        <f>INDEX(Define!X:X,MATCH(D203,Define!W:W))</f>
        <v>超次元</v>
      </c>
      <c r="F203">
        <v>61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ht="12" customHeight="1" spans="1:22">
      <c r="A204">
        <v>405080</v>
      </c>
      <c r="B204">
        <v>405080</v>
      </c>
      <c r="C204" t="str">
        <f>INDEX(TextData!B:B,MATCH(B204,TextData!A:A))</f>
        <v>ポイズンブロウ+</v>
      </c>
      <c r="D204">
        <v>5</v>
      </c>
      <c r="E204" t="str">
        <f>INDEX(Define!X:X,MATCH(D204,Define!W:W))</f>
        <v>超次元</v>
      </c>
      <c r="F204">
        <v>501</v>
      </c>
      <c r="G204">
        <v>1</v>
      </c>
      <c r="H204" t="str">
        <f>INDEX(Define!B:B,MATCH(G204,Define!A:A))</f>
        <v>単体</v>
      </c>
      <c r="I204">
        <v>0</v>
      </c>
      <c r="J204">
        <v>120</v>
      </c>
      <c r="K204">
        <v>5</v>
      </c>
      <c r="L204" t="str">
        <f>INDEX(Define!E:E,MATCH(K204,Define!D:D))</f>
        <v>闇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411010</v>
      </c>
      <c r="B205">
        <v>411010</v>
      </c>
      <c r="C205" t="str">
        <f>INDEX(TextData!B:B,MATCH(B205,TextData!A:A))</f>
        <v>ウルフソウル+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411020</v>
      </c>
      <c r="B206">
        <v>411020</v>
      </c>
      <c r="C206" t="str">
        <f>INDEX(TextData!B:B,MATCH(B206,TextData!A:A))</f>
        <v>プリディカメント+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411030</v>
      </c>
      <c r="B207">
        <v>411030</v>
      </c>
      <c r="C207" t="str">
        <f>INDEX(TextData!B:B,MATCH(B207,TextData!A:A))</f>
        <v>アサルトシフト+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411040</v>
      </c>
      <c r="B208">
        <v>411040</v>
      </c>
      <c r="C208" t="str">
        <f>INDEX(TextData!B:B,MATCH(B208,TextData!A:A))</f>
        <v>アクティブギフト+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411050</v>
      </c>
      <c r="B209">
        <v>411050</v>
      </c>
      <c r="C209" t="str">
        <f>INDEX(TextData!B:B,MATCH(B209,TextData!A:A))</f>
        <v>イグナイテッド+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110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411060</v>
      </c>
      <c r="B210">
        <v>411060</v>
      </c>
      <c r="C210" t="str">
        <f>INDEX(TextData!B:B,MATCH(B210,TextData!A:A))</f>
        <v>ライジングファイア+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411070</v>
      </c>
      <c r="B211">
        <v>411070</v>
      </c>
      <c r="C211" t="str">
        <f>INDEX(TextData!B:B,MATCH(B211,TextData!A:A))</f>
        <v>ルージュバック+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411080</v>
      </c>
      <c r="B212">
        <v>411080</v>
      </c>
      <c r="C212" t="str">
        <f>INDEX(TextData!B:B,MATCH(B212,TextData!A:A))</f>
        <v>パワーエール+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411090</v>
      </c>
      <c r="B213">
        <v>411090</v>
      </c>
      <c r="C213" t="str">
        <f>INDEX(TextData!B:B,MATCH(B213,TextData!A:A))</f>
        <v>スレイプニル+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120</v>
      </c>
      <c r="K213">
        <v>1</v>
      </c>
      <c r="L213" t="str">
        <f>INDEX(Define!E:E,MATCH(K213,Define!D:D))</f>
        <v>炎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412010</v>
      </c>
      <c r="B214">
        <v>412010</v>
      </c>
      <c r="C214" t="str">
        <f>INDEX(TextData!B:B,MATCH(B214,TextData!A:A))</f>
        <v>エクステンション+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412020</v>
      </c>
      <c r="B215">
        <v>412020</v>
      </c>
      <c r="C215" t="str">
        <f>INDEX(TextData!B:B,MATCH(B215,TextData!A:A))</f>
        <v>ヘブンリーラック+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412030</v>
      </c>
      <c r="B216">
        <v>412030</v>
      </c>
      <c r="C216" t="str">
        <f>INDEX(TextData!B:B,MATCH(B216,TextData!A:A))</f>
        <v>スウィフトカレント+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412040</v>
      </c>
      <c r="B217">
        <v>412040</v>
      </c>
      <c r="C217" t="str">
        <f>INDEX(TextData!B:B,MATCH(B217,TextData!A:A))</f>
        <v>イヴェイドオール+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412050</v>
      </c>
      <c r="B218">
        <v>412050</v>
      </c>
      <c r="C218" t="str">
        <f>INDEX(TextData!B:B,MATCH(B218,TextData!A:A))</f>
        <v>クイックムーブ+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110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412060</v>
      </c>
      <c r="B219">
        <v>412060</v>
      </c>
      <c r="C219" t="str">
        <f>INDEX(TextData!B:B,MATCH(B219,TextData!A:A))</f>
        <v>チェイスマジック+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412070</v>
      </c>
      <c r="B220">
        <v>412070</v>
      </c>
      <c r="C220" t="str">
        <f>INDEX(TextData!B:B,MATCH(B220,TextData!A:A))</f>
        <v>ソーサリーコネクト+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412080</v>
      </c>
      <c r="B221">
        <v>412080</v>
      </c>
      <c r="C221" t="str">
        <f>INDEX(TextData!B:B,MATCH(B221,TextData!A:A))</f>
        <v>ウィンドライズ+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412090</v>
      </c>
      <c r="B222">
        <v>412090</v>
      </c>
      <c r="C222" t="str">
        <f>INDEX(TextData!B:B,MATCH(B222,TextData!A:A))</f>
        <v>アウトオブオーダー+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120</v>
      </c>
      <c r="K222">
        <v>2</v>
      </c>
      <c r="L222" t="str">
        <f>INDEX(Define!E:E,MATCH(K222,Define!D:D))</f>
        <v>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pans="1:22">
      <c r="A223">
        <v>413010</v>
      </c>
      <c r="B223">
        <v>413010</v>
      </c>
      <c r="C223" t="str">
        <f>INDEX(TextData!B:B,MATCH(B223,TextData!A:A))</f>
        <v>アーマーコード+</v>
      </c>
      <c r="D223">
        <v>6</v>
      </c>
      <c r="E223" t="str">
        <f>INDEX(Define!X:X,MATCH(D223,Define!W:W))</f>
        <v>自己強化</v>
      </c>
      <c r="G223">
        <v>1</v>
      </c>
      <c r="H223" t="str">
        <f>INDEX(Define!B:B,MATCH(G223,Define!A:A))</f>
        <v>単体</v>
      </c>
      <c r="I223">
        <v>0</v>
      </c>
      <c r="J223">
        <v>110</v>
      </c>
      <c r="K223">
        <v>3</v>
      </c>
      <c r="L223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413020</v>
      </c>
      <c r="B224">
        <v>413020</v>
      </c>
      <c r="C224" s="5" t="str">
        <f>INDEX(TextData!B:B,MATCH(B224,TextData!A:A))</f>
        <v>クイックバリア+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="5" customFormat="1" ht="12" customHeight="1" spans="1:22">
      <c r="A225">
        <v>413030</v>
      </c>
      <c r="B225">
        <v>413030</v>
      </c>
      <c r="C225" s="5" t="str">
        <f>INDEX(TextData!B:B,MATCH(B225,TextData!A:A))</f>
        <v>クイックキュア+</v>
      </c>
      <c r="D225" s="5">
        <v>6</v>
      </c>
      <c r="E225" s="5" t="str">
        <f>INDEX(Define!X:X,MATCH(D225,Define!W:W))</f>
        <v>自己強化</v>
      </c>
      <c r="F225"/>
      <c r="G225" s="5">
        <v>1</v>
      </c>
      <c r="H225" s="5" t="str">
        <f>INDEX(Define!B:B,MATCH(G225,Define!A:A))</f>
        <v>単体</v>
      </c>
      <c r="I225">
        <v>0</v>
      </c>
      <c r="J225">
        <v>110</v>
      </c>
      <c r="K225" s="5">
        <v>3</v>
      </c>
      <c r="L225" s="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413040</v>
      </c>
      <c r="B226">
        <v>413040</v>
      </c>
      <c r="C226" t="str">
        <f>INDEX(TextData!B:B,MATCH(B226,TextData!A:A))</f>
        <v>セルフシールド+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413050</v>
      </c>
      <c r="B227">
        <v>413050</v>
      </c>
      <c r="C227" t="str">
        <f>INDEX(TextData!B:B,MATCH(B227,TextData!A:A))</f>
        <v>パッシブジャミング+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110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413060</v>
      </c>
      <c r="B228">
        <v>413060</v>
      </c>
      <c r="C228" t="str">
        <f>INDEX(TextData!B:B,MATCH(B228,TextData!A:A))</f>
        <v>サプライカバー+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413070</v>
      </c>
      <c r="B229">
        <v>413070</v>
      </c>
      <c r="C229" t="str">
        <f>INDEX(TextData!B:B,MATCH(B229,TextData!A:A))</f>
        <v>アシッドラッシュ+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413080</v>
      </c>
      <c r="B230">
        <v>413080</v>
      </c>
      <c r="C230" t="str">
        <f>INDEX(TextData!B:B,MATCH(B230,TextData!A:A))</f>
        <v>ライフスティール+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spans="1:22">
      <c r="A231">
        <v>413090</v>
      </c>
      <c r="B231">
        <v>413090</v>
      </c>
      <c r="C231" t="str">
        <f>INDEX(TextData!B:B,MATCH(B231,TextData!A:A))</f>
        <v>アイスセイバー+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120</v>
      </c>
      <c r="K231">
        <v>3</v>
      </c>
      <c r="L231" t="str">
        <f>INDEX(Define!E:E,MATCH(K231,Define!D:D))</f>
        <v>氷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414010</v>
      </c>
      <c r="B232">
        <v>414010</v>
      </c>
      <c r="C232" t="str">
        <f>INDEX(TextData!B:B,MATCH(B232,TextData!A:A))</f>
        <v>ディバインシールド+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414020</v>
      </c>
      <c r="B233">
        <v>414020</v>
      </c>
      <c r="C233" t="str">
        <f>INDEX(TextData!B:B,MATCH(B233,TextData!A:A))</f>
        <v>ライフディバイド+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414030</v>
      </c>
      <c r="B234">
        <v>414030</v>
      </c>
      <c r="C234" t="str">
        <f>INDEX(TextData!B:B,MATCH(B234,TextData!A:A))</f>
        <v>エイミングスコープ+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414040</v>
      </c>
      <c r="B235">
        <v>414040</v>
      </c>
      <c r="C235" t="str">
        <f>INDEX(TextData!B:B,MATCH(B235,TextData!A:A))</f>
        <v>リジェネレーション+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414050</v>
      </c>
      <c r="B236">
        <v>414050</v>
      </c>
      <c r="C236" t="str">
        <f>INDEX(TextData!B:B,MATCH(B236,TextData!A:A))</f>
        <v>ホープフルアイリス+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110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414060</v>
      </c>
      <c r="B237">
        <v>414060</v>
      </c>
      <c r="C237" t="str">
        <f>INDEX(TextData!B:B,MATCH(B237,TextData!A:A))</f>
        <v>パッシブサプライ+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414070</v>
      </c>
      <c r="B238">
        <v>414070</v>
      </c>
      <c r="C238" t="str">
        <f>INDEX(TextData!B:B,MATCH(B238,TextData!A:A))</f>
        <v>ホーミングクルセイド+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414080</v>
      </c>
      <c r="B239">
        <v>414080</v>
      </c>
      <c r="C239" t="str">
        <f>INDEX(TextData!B:B,MATCH(B239,TextData!A:A))</f>
        <v>クイックヒール+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414090</v>
      </c>
      <c r="B240">
        <v>414090</v>
      </c>
      <c r="C240" t="str">
        <f>INDEX(TextData!B:B,MATCH(B240,TextData!A:A))</f>
        <v>リレイズ+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120</v>
      </c>
      <c r="K240">
        <v>4</v>
      </c>
      <c r="L240" t="str">
        <f>INDEX(Define!E:E,MATCH(K240,Define!D:D))</f>
        <v>光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415010</v>
      </c>
      <c r="B241">
        <v>415010</v>
      </c>
      <c r="C241" t="str">
        <f>INDEX(TextData!B:B,MATCH(B241,TextData!A:A))</f>
        <v>イーグルアイ+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415020</v>
      </c>
      <c r="B242">
        <v>415020</v>
      </c>
      <c r="C242" t="str">
        <f>INDEX(TextData!B:B,MATCH(B242,TextData!A:A))</f>
        <v>ネヴァーエンド+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415030</v>
      </c>
      <c r="B243">
        <v>415030</v>
      </c>
      <c r="C243" t="str">
        <f>INDEX(TextData!B:B,MATCH(B243,TextData!A:A))</f>
        <v>グレイブアクト+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415040</v>
      </c>
      <c r="B244">
        <v>415040</v>
      </c>
      <c r="C244" t="str">
        <f>INDEX(TextData!B:B,MATCH(B244,TextData!A:A))</f>
        <v>スカルグラッジ+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415050</v>
      </c>
      <c r="B245">
        <v>415050</v>
      </c>
      <c r="C245" t="str">
        <f>INDEX(TextData!B:B,MATCH(B245,TextData!A:A))</f>
        <v>ネガティブドレイン+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110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415060</v>
      </c>
      <c r="B246">
        <v>415060</v>
      </c>
      <c r="C246" t="str">
        <f>INDEX(TextData!B:B,MATCH(B246,TextData!A:A))</f>
        <v>アンデッドペイン+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415070</v>
      </c>
      <c r="B247">
        <v>415070</v>
      </c>
      <c r="C247" t="str">
        <f>INDEX(TextData!B:B,MATCH(B247,TextData!A:A))</f>
        <v>ジャックポッド+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415080</v>
      </c>
      <c r="B248">
        <v>415080</v>
      </c>
      <c r="C248" t="str">
        <f>INDEX(TextData!B:B,MATCH(B248,TextData!A:A))</f>
        <v>ヒールハント+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  <row r="249" ht="12" customHeight="1" spans="1:22">
      <c r="A249">
        <v>415090</v>
      </c>
      <c r="B249">
        <v>415090</v>
      </c>
      <c r="C249" t="str">
        <f>INDEX(TextData!B:B,MATCH(B249,TextData!A:A))</f>
        <v>クイックカース+</v>
      </c>
      <c r="D249">
        <v>6</v>
      </c>
      <c r="E249" t="str">
        <f>INDEX(Define!X:X,MATCH(D249,Define!W:W))</f>
        <v>自己強化</v>
      </c>
      <c r="G249">
        <v>1</v>
      </c>
      <c r="H249" t="str">
        <f>INDEX(Define!B:B,MATCH(G249,Define!A:A))</f>
        <v>単体</v>
      </c>
      <c r="I249">
        <v>0</v>
      </c>
      <c r="J249">
        <v>120</v>
      </c>
      <c r="K249">
        <v>5</v>
      </c>
      <c r="L249" t="str">
        <f>INDEX(Define!E:E,MATCH(K249,Define!D:D))</f>
        <v>闇</v>
      </c>
      <c r="M249">
        <v>6</v>
      </c>
      <c r="N249" t="str">
        <f>INDEX(Define!H:H,MATCH(M249,Define!G:G))</f>
        <v>強化</v>
      </c>
      <c r="O249">
        <v>4</v>
      </c>
      <c r="P249" t="str">
        <f>INDEX(Define!K:K,MATCH(O249,Define!J:J))</f>
        <v>自身</v>
      </c>
      <c r="Q249">
        <v>4</v>
      </c>
      <c r="R249" t="str">
        <f>INDEX(Define!N:N,MATCH(Q249,Define!M:M))</f>
        <v>自身</v>
      </c>
      <c r="S249">
        <v>1</v>
      </c>
      <c r="T249">
        <v>1</v>
      </c>
      <c r="U249">
        <v>1</v>
      </c>
      <c r="V249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7"/>
  <sheetViews>
    <sheetView topLeftCell="A27" workbookViewId="0">
      <selection activeCell="D46" sqref="D4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3110</v>
      </c>
      <c r="B46" t="str">
        <f>INDEX(TextData!B:B,MATCH(A46,TextData!A:A))</f>
        <v>フリーズランサー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4010</v>
      </c>
      <c r="B48" t="str">
        <f>INDEX(TextData!B:B,MATCH(A48,TextData!A:A))</f>
        <v>セイントレーザー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1040</v>
      </c>
      <c r="D49" t="str">
        <f>INDEX(Define!Q:Q,MATCH(C49,Define!P:P))</f>
        <v>特定ステートダメージ</v>
      </c>
      <c r="E49">
        <v>150</v>
      </c>
      <c r="F49">
        <v>0</v>
      </c>
      <c r="G49">
        <v>0</v>
      </c>
      <c r="H49">
        <v>100</v>
      </c>
    </row>
    <row r="50" spans="1:8">
      <c r="A50">
        <v>4020</v>
      </c>
      <c r="B50" t="str">
        <f>INDEX(TextData!B:B,MATCH(A50,TextData!A:A))</f>
        <v>ペネトレイト</v>
      </c>
      <c r="C50">
        <v>8020</v>
      </c>
      <c r="D50" t="str">
        <f>INDEX(Define!Q:Q,MATCH(C50,Define!P:P))</f>
        <v>アンデッド特攻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2010</v>
      </c>
      <c r="D51" t="str">
        <f>INDEX(Define!Q:Q,MATCH(C51,Define!P:P))</f>
        <v>Hp回復</v>
      </c>
      <c r="E51">
        <v>25</v>
      </c>
      <c r="F51">
        <v>0</v>
      </c>
      <c r="G51">
        <v>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8010</v>
      </c>
      <c r="D52" t="str">
        <f>INDEX(Define!Q:Q,MATCH(C52,Define!P:P))</f>
        <v>回復特性</v>
      </c>
      <c r="E52">
        <v>1</v>
      </c>
      <c r="F52">
        <v>0</v>
      </c>
      <c r="G52">
        <v>200</v>
      </c>
      <c r="H52">
        <v>100</v>
      </c>
    </row>
    <row r="53" spans="1:8">
      <c r="A53">
        <v>4030</v>
      </c>
      <c r="B53" t="str">
        <f>INDEX(TextData!B:B,MATCH(A53,TextData!A:A))</f>
        <v>ヒーリング</v>
      </c>
      <c r="C53">
        <v>8020</v>
      </c>
      <c r="D53" t="str">
        <f>INDEX(Define!Q:Q,MATCH(C53,Define!P:P))</f>
        <v>アンデッド特攻</v>
      </c>
      <c r="E53">
        <v>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1010</v>
      </c>
      <c r="D54" t="str">
        <f>INDEX(Define!Q:Q,MATCH(C54,Define!P:P))</f>
        <v>Hpダメージ</v>
      </c>
      <c r="E54">
        <v>150</v>
      </c>
      <c r="F54">
        <v>0</v>
      </c>
      <c r="G54">
        <v>0</v>
      </c>
      <c r="H54">
        <v>100</v>
      </c>
    </row>
    <row r="55" spans="1:8">
      <c r="A55">
        <v>4040</v>
      </c>
      <c r="B55" t="str">
        <f>INDEX(TextData!B:B,MATCH(A55,TextData!A:A))</f>
        <v>リザイアフォトン</v>
      </c>
      <c r="C55">
        <v>2130</v>
      </c>
      <c r="D55" t="str">
        <f>INDEX(Define!Q:Q,MATCH(C55,Define!P:P))</f>
        <v>攻撃成功で味方全体に回復</v>
      </c>
      <c r="E55">
        <v>0</v>
      </c>
      <c r="F55">
        <v>0</v>
      </c>
      <c r="G55">
        <v>5</v>
      </c>
      <c r="H55">
        <v>100</v>
      </c>
    </row>
    <row r="56" spans="1:8">
      <c r="A56">
        <v>4050</v>
      </c>
      <c r="B56" t="str">
        <f>INDEX(TextData!B:B,MATCH(A56,TextData!A:A))</f>
        <v>べネディクション</v>
      </c>
      <c r="C56">
        <v>2010</v>
      </c>
      <c r="D56" t="str">
        <f>INDEX(Define!Q:Q,MATCH(C56,Define!P:P))</f>
        <v>Hp回復</v>
      </c>
      <c r="E56">
        <v>10</v>
      </c>
      <c r="F56">
        <v>0</v>
      </c>
      <c r="G56">
        <v>0</v>
      </c>
      <c r="H56">
        <v>100</v>
      </c>
    </row>
    <row r="57" spans="1:9">
      <c r="A57">
        <v>4060</v>
      </c>
      <c r="B57" t="str">
        <f>INDEX(TextData!B:B,MATCH(A57,TextData!A:A))</f>
        <v>ホーリーグレイス</v>
      </c>
      <c r="C57">
        <v>3020</v>
      </c>
      <c r="D57" t="str">
        <f>INDEX(Define!Q:Q,MATCH(C57,Define!P:P))</f>
        <v>ステート解除</v>
      </c>
      <c r="E57">
        <v>1</v>
      </c>
      <c r="F57">
        <v>0</v>
      </c>
      <c r="G57">
        <v>0</v>
      </c>
      <c r="H57">
        <v>100</v>
      </c>
      <c r="I57" t="str">
        <f>INDEX([1]TextData!B:B,MATCH(E57,[1]TextData!A:A))</f>
        <v>戦闘不能</v>
      </c>
    </row>
    <row r="58" spans="1:8">
      <c r="A58">
        <v>4060</v>
      </c>
      <c r="B58" t="str">
        <f>INDEX(TextData!B:B,MATCH(A58,TextData!A:A))</f>
        <v>ホーリーグレイス</v>
      </c>
      <c r="C58">
        <v>2010</v>
      </c>
      <c r="D58" t="str">
        <f>INDEX(Define!Q:Q,MATCH(C58,Define!P:P))</f>
        <v>Hp回復</v>
      </c>
      <c r="E58">
        <v>25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2010</v>
      </c>
      <c r="D59" t="str">
        <f>INDEX(Define!Q:Q,MATCH(C59,Define!P:P))</f>
        <v>Hp回復</v>
      </c>
      <c r="E59">
        <v>15</v>
      </c>
      <c r="F59">
        <v>0</v>
      </c>
      <c r="G59">
        <v>0</v>
      </c>
      <c r="H59">
        <v>100</v>
      </c>
    </row>
    <row r="60" spans="1:8">
      <c r="A60">
        <v>4070</v>
      </c>
      <c r="B60" t="str">
        <f>INDEX(TextData!B:B,MATCH(A60,TextData!A:A))</f>
        <v>キュアエール</v>
      </c>
      <c r="C60">
        <v>3030</v>
      </c>
      <c r="D60" t="str">
        <f>INDEX(Define!Q:Q,MATCH(C60,Define!P:P))</f>
        <v>Abnormalステート解除</v>
      </c>
      <c r="E60">
        <v>0</v>
      </c>
      <c r="F60">
        <v>0</v>
      </c>
      <c r="G60">
        <v>0</v>
      </c>
      <c r="H60">
        <v>100</v>
      </c>
    </row>
    <row r="61" spans="1:9">
      <c r="A61">
        <v>4080</v>
      </c>
      <c r="B61" t="str">
        <f>INDEX(TextData!B:B,MATCH(A61,TextData!A:A))</f>
        <v>ラインバリア</v>
      </c>
      <c r="C61">
        <v>3010</v>
      </c>
      <c r="D61" t="str">
        <f>INDEX(Define!Q:Q,MATCH(C61,Define!P:P))</f>
        <v>ステート付与</v>
      </c>
      <c r="E61">
        <v>1100</v>
      </c>
      <c r="F61">
        <v>1</v>
      </c>
      <c r="G61">
        <v>50</v>
      </c>
      <c r="H61">
        <v>100</v>
      </c>
      <c r="I61" t="str">
        <f>INDEX([1]TextData!B:B,MATCH(E61,[1]TextData!A:A))</f>
        <v>ダメージカット</v>
      </c>
    </row>
    <row r="62" spans="1:8">
      <c r="A62">
        <v>5010</v>
      </c>
      <c r="B62" t="str">
        <f>INDEX(TextData!B:B,MATCH(A62,TextData!A:A))</f>
        <v>ダークプリズン</v>
      </c>
      <c r="C62">
        <v>1010</v>
      </c>
      <c r="D62" t="str">
        <f>INDEX(Define!Q:Q,MATCH(C62,Define!P:P))</f>
        <v>Hpダメージ</v>
      </c>
      <c r="E62">
        <v>150</v>
      </c>
      <c r="F62">
        <v>0</v>
      </c>
      <c r="G62">
        <v>0</v>
      </c>
      <c r="H62">
        <v>100</v>
      </c>
    </row>
    <row r="63" spans="1:8">
      <c r="A63">
        <v>5020</v>
      </c>
      <c r="B63" t="str">
        <f>INDEX(TextData!B:B,MATCH(A63,TextData!A:A))</f>
        <v>ユーサネイジア</v>
      </c>
      <c r="C63">
        <v>1010</v>
      </c>
      <c r="D63" t="str">
        <f>INDEX(Define!Q:Q,MATCH(C63,Define!P:P))</f>
        <v>Hpダメージ</v>
      </c>
      <c r="E63">
        <v>100</v>
      </c>
      <c r="F63">
        <v>0</v>
      </c>
      <c r="G63">
        <v>0</v>
      </c>
      <c r="H63">
        <v>100</v>
      </c>
    </row>
    <row r="64" spans="1:8">
      <c r="A64">
        <v>5030</v>
      </c>
      <c r="B64" t="str">
        <f>INDEX(TextData!B:B,MATCH(A64,TextData!A:A))</f>
        <v>ドレインヒール</v>
      </c>
      <c r="C64">
        <v>1020</v>
      </c>
      <c r="D64" t="str">
        <f>INDEX(Define!Q:Q,MATCH(C64,Define!P:P))</f>
        <v>Hp吸収ダメージ</v>
      </c>
      <c r="E64">
        <v>150</v>
      </c>
      <c r="F64">
        <v>0</v>
      </c>
      <c r="G64">
        <v>50</v>
      </c>
      <c r="H64">
        <v>100</v>
      </c>
    </row>
    <row r="65" spans="1:8">
      <c r="A65">
        <v>5040</v>
      </c>
      <c r="B65" t="str">
        <f>INDEX(TextData!B:B,MATCH(A65,TextData!A:A))</f>
        <v>アビサルデスペア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9">
      <c r="A66">
        <v>5040</v>
      </c>
      <c r="B66" t="str">
        <f>INDEX(TextData!B:B,MATCH(A66,TextData!A:A))</f>
        <v>アビサルデスペア</v>
      </c>
      <c r="C66">
        <v>3010</v>
      </c>
      <c r="D66" t="str">
        <f>INDEX(Define!Q:Q,MATCH(C66,Define!P:P))</f>
        <v>ステート付与</v>
      </c>
      <c r="E66">
        <v>2400</v>
      </c>
      <c r="F66">
        <v>3</v>
      </c>
      <c r="G66">
        <v>0</v>
      </c>
      <c r="H66">
        <v>100</v>
      </c>
      <c r="I66" t="str">
        <f>INDEX([1]TextData!B:B,MATCH(E66,[1]TextData!A:A))</f>
        <v>不治</v>
      </c>
    </row>
    <row r="67" spans="1:8">
      <c r="A67">
        <v>5050</v>
      </c>
      <c r="B67" t="str">
        <f>INDEX(TextData!B:B,MATCH(A67,TextData!A:A))</f>
        <v>ディプラヴィティ</v>
      </c>
      <c r="C67">
        <v>1010</v>
      </c>
      <c r="D67" t="str">
        <f>INDEX(Define!Q:Q,MATCH(C67,Define!P:P))</f>
        <v>Hpダメージ</v>
      </c>
      <c r="E67">
        <v>150</v>
      </c>
      <c r="F67">
        <v>0</v>
      </c>
      <c r="G67">
        <v>0</v>
      </c>
      <c r="H67">
        <v>100</v>
      </c>
    </row>
    <row r="68" spans="1:8">
      <c r="A68">
        <v>5050</v>
      </c>
      <c r="B68" t="str">
        <f>INDEX(TextData!B:B,MATCH(A68,TextData!A:A))</f>
        <v>ディプラヴィティ</v>
      </c>
      <c r="C68">
        <v>4010</v>
      </c>
      <c r="D68" t="str">
        <f>INDEX(Define!Q:Q,MATCH(C68,Define!P:P))</f>
        <v>Ctダメージ</v>
      </c>
      <c r="E68">
        <v>2</v>
      </c>
      <c r="F68">
        <v>0</v>
      </c>
      <c r="G68">
        <v>0</v>
      </c>
      <c r="H68">
        <v>100</v>
      </c>
    </row>
    <row r="69" spans="1:9">
      <c r="A69">
        <v>5060</v>
      </c>
      <c r="B69" t="str">
        <f>INDEX(TextData!B:B,MATCH(A69,TextData!A:A))</f>
        <v>ダークネス</v>
      </c>
      <c r="C69">
        <v>3010</v>
      </c>
      <c r="D69" t="str">
        <f>INDEX(Define!Q:Q,MATCH(C69,Define!P:P))</f>
        <v>ステート付与</v>
      </c>
      <c r="E69">
        <v>1082</v>
      </c>
      <c r="F69">
        <v>5</v>
      </c>
      <c r="G69">
        <v>25</v>
      </c>
      <c r="H69">
        <v>100</v>
      </c>
      <c r="I69" t="str">
        <f>INDEX([1]TextData!B:B,MATCH(E69,[1]TextData!A:A))</f>
        <v>命中ダウン</v>
      </c>
    </row>
    <row r="70" spans="1:9">
      <c r="A70">
        <v>5070</v>
      </c>
      <c r="B70" t="str">
        <f>INDEX(TextData!B:B,MATCH(A70,TextData!A:A))</f>
        <v>シェイディークラウド</v>
      </c>
      <c r="C70">
        <v>3010</v>
      </c>
      <c r="D70" t="str">
        <f>INDEX(Define!Q:Q,MATCH(C70,Define!P:P))</f>
        <v>ステート付与</v>
      </c>
      <c r="E70">
        <v>1041</v>
      </c>
      <c r="F70">
        <v>2</v>
      </c>
      <c r="G70">
        <v>8</v>
      </c>
      <c r="H70">
        <v>100</v>
      </c>
      <c r="I70" t="str">
        <f>INDEX([1]TextData!B:B,MATCH(E70,[1]TextData!A:A))</f>
        <v>攻撃ダウン</v>
      </c>
    </row>
    <row r="71" spans="1:8">
      <c r="A71">
        <v>5080</v>
      </c>
      <c r="B71" t="str">
        <f>INDEX(TextData!B:B,MATCH(A71,TextData!A:A))</f>
        <v>ポイズンブロウ</v>
      </c>
      <c r="C71">
        <v>1010</v>
      </c>
      <c r="D71" t="str">
        <f>INDEX(Define!Q:Q,MATCH(C71,Define!P:P))</f>
        <v>Hpダメージ</v>
      </c>
      <c r="E71">
        <v>150</v>
      </c>
      <c r="F71">
        <v>0</v>
      </c>
      <c r="G71">
        <v>0</v>
      </c>
      <c r="H71">
        <v>100</v>
      </c>
    </row>
    <row r="72" spans="1:9">
      <c r="A72">
        <v>5080</v>
      </c>
      <c r="B72" t="str">
        <f>INDEX(TextData!B:B,MATCH(A72,TextData!A:A))</f>
        <v>ポイズンブロウ</v>
      </c>
      <c r="C72">
        <v>3010</v>
      </c>
      <c r="D72" t="str">
        <f>INDEX(Define!Q:Q,MATCH(C72,Define!P:P))</f>
        <v>ステート付与</v>
      </c>
      <c r="E72">
        <v>2010</v>
      </c>
      <c r="F72">
        <v>2</v>
      </c>
      <c r="G72">
        <v>10</v>
      </c>
      <c r="H72">
        <v>100</v>
      </c>
      <c r="I72" t="str">
        <f>INDEX([1]TextData!B:B,MATCH(E72,[1]TextData!A:A))</f>
        <v>毒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INDEX([1]TextData!B:B,MATCH(E73,[1]TextData!A:A))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INDEX([1]TextData!B:B,MATCH(E74,[1]TextData!A:A))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INDEX([1]TextData!B:B,MATCH(E75,[1]TextData!A:A))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INDEX([1]TextData!B:B,MATCH(E76,[1]TextData!A:A))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INDEX([1]TextData!B:B,MATCH(E77,[1]TextData!A:A))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INDEX([1]TextData!B:B,MATCH(E78,[1]TextData!A:A))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INDEX([1]TextData!B:B,MATCH(E79,[1]TextData!A:A))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INDEX([1]TextData!B:B,MATCH(E81,[1]TextData!A:A))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INDEX([1]TextData!B:B,MATCH(E82,[1]TextData!A:A))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INDEX([1]TextData!B:B,MATCH(E86,[1]TextData!A:A))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INDEX([1]TextData!B:B,MATCH(E87,[1]TextData!A:A))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INDEX([1]TextData!B:B,MATCH(E88,[1]TextData!A:A))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INDEX(Define!Q:Q,MATCH(C89,Define!P:P))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INDEX([1]TextData!B:B,MATCH(E89,[1]TextData!A:A))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INDEX([1]TextData!B:B,MATCH(E90,[1]TextData!A:A))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INDEX(Define!Q:Q,MATCH(C91,Define!P:P))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INDEX([1]TextData!B:B,MATCH(E91,[1]TextData!A:A))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INDEX(Define!Q:Q,MATCH(C92,Define!P:P))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INDEX([1]TextData!B:B,MATCH(E92,[1]TextData!A:A))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INDEX(Define!Q:Q,MATCH(C93,Define!P:P))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INDEX(Define!Q:Q,MATCH(C95,Define!P:P))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INDEX([1]TextData!B:B,MATCH(E95,[1]TextData!A:A))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INDEX(Define!Q:Q,MATCH(C96,Define!P:P))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INDEX([1]TextData!B:B,MATCH(E97,[1]TextData!A:A))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INDEX(Define!Q:Q,MATCH(C98,Define!P:P))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INDEX(Define!Q:Q,MATCH(C99,Define!P:P))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INDEX([1]TextData!B:B,MATCH(E100,[1]TextData!A:A))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INDEX(Define!Q:Q,MATCH(C101,Define!P:P))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INDEX([1]TextData!B:B,MATCH(E101,[1]TextData!A:A))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INDEX(Define!Q:Q,MATCH(C102,Define!P:P))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INDEX([1]TextData!B:B,MATCH(E103,[1]TextData!A:A))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INDEX(Define!Q:Q,MATCH(C104,Define!P:P))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INDEX([1]TextData!B:B,MATCH(E104,[1]TextData!A:A))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INDEX(Define!Q:Q,MATCH(C105,Define!P:P))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INDEX([1]TextData!B:B,MATCH(E105,[1]TextData!A:A))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INDEX(Define!Q:Q,MATCH(C106,Define!P:P))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INDEX(Define!Q:Q,MATCH(C107,Define!P:P))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INDEX([1]TextData!B:B,MATCH(E107,[1]TextData!A:A))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INDEX(Define!Q:Q,MATCH(C108,Define!P:P))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INDEX([1]TextData!B:B,MATCH(E108,[1]TextData!A:A))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INDEX(Define!Q:Q,MATCH(C109,Define!P:P))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INDEX([1]TextData!B:B,MATCH(E109,[1]TextData!A:A))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INDEX(Define!Q:Q,MATCH(C110,Define!P:P))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INDEX(Define!Q:Q,MATCH(C111,Define!P:P))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INDEX([1]TextData!B:B,MATCH(E111,[1]TextData!A:A))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INDEX(Define!Q:Q,MATCH(C112,Define!P:P))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INDEX([1]TextData!B:B,MATCH(E112,[1]TextData!A:A))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INDEX(Define!Q:Q,MATCH(C113,Define!P:P))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INDEX([1]TextData!B:B,MATCH(E113,[1]TextData!A:A))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INDEX(Define!Q:Q,MATCH(C114,Define!P:P))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INDEX(Define!Q:Q,MATCH(C115,Define!P:P))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INDEX([1]TextData!B:B,MATCH(E115,[1]TextData!A:A))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INDEX(Define!Q:Q,MATCH(C116,Define!P:P))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INDEX(Define!Q:Q,MATCH(C117,Define!P:P))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INDEX([1]TextData!B:B,MATCH(E117,[1]TextData!A:A))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INDEX([1]TextData!B:B,MATCH(E118,[1]TextData!A:A))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INDEX([1]TextData!B:B,MATCH(E119,[1]TextData!A:A))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INDEX(Define!Q:Q,MATCH(C120,Define!P:P))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INDEX(Define!Q:Q,MATCH(C121,Define!P:P))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INDEX([1]TextData!B:B,MATCH(E121,[1]TextData!A:A))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INDEX(Define!Q:Q,MATCH(C122,Define!P:P))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INDEX([1]TextData!B:B,MATCH(E122,[1]TextData!A:A))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INDEX(Define!Q:Q,MATCH(C123,Define!P:P))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INDEX([1]TextData!B:B,MATCH(E123,[1]TextData!A:A))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INDEX([1]TextData!B:B,MATCH(E124,[1]TextData!A:A))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INDEX([1]TextData!B:B,MATCH(E125,[1]TextData!A:A))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INDEX(Define!Q:Q,MATCH(C126,Define!P:P))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INDEX(Define!Q:Q,MATCH(C127,Define!P:P))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INDEX([1]TextData!B:B,MATCH(E127,[1]TextData!A:A))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INDEX(Define!Q:Q,MATCH(C128,Define!P:P))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INDEX([1]TextData!B:B,MATCH(E128,[1]TextData!A:A))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INDEX(Define!Q:Q,MATCH(C129,Define!P:P))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INDEX(Define!Q:Q,MATCH(C130,Define!P:P))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INDEX(Define!Q:Q,MATCH(C131,Define!P:P))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INDEX(Define!Q:Q,MATCH(C132,Define!P:P))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INDEX([1]TextData!B:B,MATCH(E132,[1]TextData!A:A))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INDEX(Define!Q:Q,MATCH(C134,Define!P:P))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INDEX([1]TextData!B:B,MATCH(E136,[1]TextData!A:A))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INDEX(Define!Q:Q,MATCH(C138,Define!P:P))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INDEX(Define!Q:Q,MATCH(C140,Define!P:P))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INDEX([1]TextData!B:B,MATCH(E140,[1]TextData!A:A))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INDEX(Define!Q:Q,MATCH(C141,Define!P:P))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INDEX([1]TextData!B:B,MATCH(E143,[1]TextData!A:A))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INDEX(Define!Q:Q,MATCH(C145,Define!P:P))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INDEX([1]TextData!B:B,MATCH(E145,[1]TextData!A:A))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INDEX(Define!Q:Q,MATCH(C147,Define!P:P))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INDEX([1]TextData!B:B,MATCH(E147,[1]TextData!A:A))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INDEX(Define!Q:Q,MATCH(C149,Define!P:P))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INDEX(Define!Q:Q,MATCH(C151,Define!P:P))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INDEX(Define!Q:Q,MATCH(C152,Define!P:P))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INDEX(Define!Q:Q,MATCH(C154,Define!P:P))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INDEX([1]TextData!B:B,MATCH(E154,[1]TextData!A:A))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INDEX([1]TextData!B:B,MATCH(E156,[1]TextData!A:A))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INDEX([1]TextData!B:B,MATCH(E157,[1]TextData!A:A))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INDEX([1]TextData!B:B,MATCH(E159,[1]TextData!A:A))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INDEX([1]TextData!B:B,MATCH(E160,[1]TextData!A:A))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INDEX(Define!Q:Q,MATCH(C161,Define!P:P))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INDEX(Define!Q:Q,MATCH(C162,Define!P:P))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INDEX(Define!Q:Q,MATCH(C164,Define!P:P))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INDEX(Define!Q:Q,MATCH(C168,Define!P:P))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INDEX(Define!Q:Q,MATCH(C169,Define!P:P))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INDEX([1]TextData!B:B,MATCH(E169,[1]TextData!A:A))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INDEX(Define!Q:Q,MATCH(C170,Define!P:P))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INDEX(Define!Q:Q,MATCH(C171,Define!P:P))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INDEX(Define!Q:Q,MATCH(C172,Define!P:P))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INDEX(Define!Q:Q,MATCH(C174,Define!P:P))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INDEX(Define!Q:Q,MATCH(C176,Define!P:P))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INDEX([1]TextData!B:B,MATCH(E176,[1]TextData!A:A))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INDEX(Define!Q:Q,MATCH(C178,Define!P:P))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INDEX(Define!Q:Q,MATCH(C180,Define!P:P))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INDEX([1]TextData!B:B,MATCH(E180,[1]TextData!A:A))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INDEX(Define!Q:Q,MATCH(C182,Define!P:P))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INDEX([1]TextData!B:B,MATCH(E184,[1]TextData!A:A))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INDEX(Define!Q:Q,MATCH(C185,Define!P:P))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INDEX([1]TextData!B:B,MATCH(E185,[1]TextData!A:A))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INDEX(Define!Q:Q,MATCH(C187,Define!P:P))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INDEX([1]TextData!B:B,MATCH(E187,[1]TextData!A:A))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INDEX([1]TextData!B:B,MATCH(E189,[1]TextData!A:A))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INDEX(Define!Q:Q,MATCH(C190,Define!P:P))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INDEX([1]TextData!B:B,MATCH(E190,[1]TextData!A:A))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INDEX(Define!Q:Q,MATCH(C191,Define!P:P))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INDEX(Define!Q:Q,MATCH(C192,Define!P:P))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INDEX(Define!Q:Q,MATCH(C193,Define!P:P))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INDEX([1]TextData!B:B,MATCH(E193,[1]TextData!A:A))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INDEX(Define!Q:Q,MATCH(C195,Define!P:P))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INDEX(Define!Q:Q,MATCH(C197,Define!P:P))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INDEX(Define!Q:Q,MATCH(C198,Define!P:P))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INDEX([1]TextData!B:B,MATCH(E198,[1]TextData!A:A))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INDEX(Define!Q:Q,MATCH(C199,Define!P:P))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INDEX(Define!Q:Q,MATCH(C200,Define!P:P))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INDEX([1]TextData!B:B,MATCH(E200,[1]TextData!A:A))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INDEX(Define!Q:Q,MATCH(C201,Define!P:P))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INDEX(Define!Q:Q,MATCH(C202,Define!P:P))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INDEX(Define!Q:Q,MATCH(C203,Define!P:P))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INDEX([1]TextData!B:B,MATCH(E203,[1]TextData!A:A))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INDEX(Define!Q:Q,MATCH(C204,Define!P:P))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INDEX([1]TextData!B:B,MATCH(E204,[1]TextData!A:A))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INDEX(Define!Q:Q,MATCH(C206,Define!P:P))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INDEX(Define!Q:Q,MATCH(C207,Define!P:P))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INDEX(Define!Q:Q,MATCH(C209,Define!P:P))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INDEX([1]TextData!B:B,MATCH(E209,[1]TextData!A:A))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INDEX(Define!Q:Q,MATCH(C210,Define!P:P))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INDEX([1]TextData!B:B,MATCH(E210,[1]TextData!A:A))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INDEX(Define!Q:Q,MATCH(C211,Define!P:P))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INDEX(Define!Q:Q,MATCH(C212,Define!P:P))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INDEX([1]TextData!B:B,MATCH(E212,[1]TextData!A:A))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INDEX(Define!Q:Q,MATCH(C213,Define!P:P))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INDEX([1]TextData!B:B,MATCH(E213,[1]TextData!A:A))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INDEX(Define!Q:Q,MATCH(C214,Define!P:P))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INDEX([1]TextData!B:B,MATCH(E214,[1]TextData!A:A))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INDEX(Define!Q:Q,MATCH(C215,Define!P:P))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INDEX([1]TextData!B:B,MATCH(E215,[1]TextData!A:A))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INDEX(Define!Q:Q,MATCH(C216,Define!P:P))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INDEX([1]TextData!B:B,MATCH(E216,[1]TextData!A:A))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INDEX(Define!Q:Q,MATCH(C217,Define!P:P))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INDEX(Define!Q:Q,MATCH(C218,Define!P:P))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INDEX([1]TextData!B:B,MATCH(E218,[1]TextData!A:A))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INDEX(Define!Q:Q,MATCH(C219,Define!P:P))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INDEX([1]TextData!B:B,MATCH(E219,[1]TextData!A:A))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INDEX(Define!Q:Q,MATCH(C220,Define!P:P))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INDEX([1]TextData!B:B,MATCH(E221,[1]TextData!A:A))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INDEX(Define!Q:Q,MATCH(C222,Define!P:P))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INDEX([1]TextData!B:B,MATCH(E222,[1]TextData!A:A))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INDEX([1]TextData!B:B,MATCH(E223,[1]TextData!A:A))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INDEX(Define!Q:Q,MATCH(C224,Define!P:P))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INDEX([1]TextData!B:B,MATCH(E224,[1]TextData!A:A))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INDEX(Define!Q:Q,MATCH(C225,Define!P:P))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INDEX([1]TextData!B:B,MATCH(E225,[1]TextData!A:A))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INDEX(Define!Q:Q,MATCH(C226,Define!P:P))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INDEX(Define!Q:Q,MATCH(C227,Define!P:P))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INDEX([1]TextData!B:B,MATCH(E228,[1]TextData!A:A))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INDEX(Define!Q:Q,MATCH(C229,Define!P:P))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INDEX(Define!Q:Q,MATCH(C230,Define!P:P))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INDEX([1]TextData!B:B,MATCH(E230,[1]TextData!A:A))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INDEX(Define!Q:Q,MATCH(C231,Define!P:P))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401010</v>
      </c>
      <c r="B232" t="str">
        <f>INDEX(TextData!B:B,MATCH(A232,TextData!A:A))</f>
        <v>ファイアボール+</v>
      </c>
      <c r="C232">
        <v>6010</v>
      </c>
      <c r="D232" t="str">
        <f>INDEX(Define!Q:Q,MATCH(C232,Define!P:P))</f>
        <v>指定のFeatureのParam1を増やす</v>
      </c>
      <c r="E232">
        <v>1010</v>
      </c>
      <c r="F232">
        <v>0</v>
      </c>
      <c r="G232">
        <v>250</v>
      </c>
      <c r="H232">
        <v>100</v>
      </c>
    </row>
    <row r="233" spans="1:8">
      <c r="A233">
        <v>401020</v>
      </c>
      <c r="B233" t="str">
        <f>INDEX(TextData!B:B,MATCH(A233,TextData!A:A))</f>
        <v>バーンストーム+</v>
      </c>
      <c r="C233">
        <v>6010</v>
      </c>
      <c r="D233" t="str">
        <f>INDEX(Define!Q:Q,MATCH(C233,Define!P:P))</f>
        <v>指定のFeatureのParam1を増やす</v>
      </c>
      <c r="E233">
        <v>1020</v>
      </c>
      <c r="F233">
        <v>0</v>
      </c>
      <c r="G233">
        <v>250</v>
      </c>
      <c r="H233">
        <v>100</v>
      </c>
    </row>
    <row r="234" spans="1:8">
      <c r="A234">
        <v>401030</v>
      </c>
      <c r="B234" t="str">
        <f>INDEX(TextData!B:B,MATCH(A234,TextData!A:A))</f>
        <v>ヒートスタンプ+</v>
      </c>
      <c r="C234">
        <v>6010</v>
      </c>
      <c r="D234" t="str">
        <f>INDEX(Define!Q:Q,MATCH(C234,Define!P:P))</f>
        <v>指定のFeatureのParam1を増やす</v>
      </c>
      <c r="E234">
        <v>1030</v>
      </c>
      <c r="F234">
        <v>0</v>
      </c>
      <c r="G234">
        <v>2</v>
      </c>
      <c r="H234">
        <v>100</v>
      </c>
    </row>
    <row r="235" spans="1:8">
      <c r="A235">
        <v>401040</v>
      </c>
      <c r="B235" t="str">
        <f>INDEX(TextData!B:B,MATCH(A235,TextData!A:A))</f>
        <v>ソードアダプト+</v>
      </c>
      <c r="C235">
        <v>6010</v>
      </c>
      <c r="D235" t="str">
        <f>INDEX(Define!Q:Q,MATCH(C235,Define!P:P))</f>
        <v>指定のFeatureのParam1を増やす</v>
      </c>
      <c r="E235">
        <v>1040</v>
      </c>
      <c r="F235">
        <v>0</v>
      </c>
      <c r="G235">
        <v>15</v>
      </c>
      <c r="H235">
        <v>100</v>
      </c>
    </row>
    <row r="236" spans="1:8">
      <c r="A236">
        <v>401050</v>
      </c>
      <c r="B236" t="str">
        <f>INDEX(TextData!B:B,MATCH(A236,TextData!A:A))</f>
        <v>フレイムレイン+</v>
      </c>
      <c r="C236">
        <v>6010</v>
      </c>
      <c r="D236" t="str">
        <f>INDEX(Define!Q:Q,MATCH(C236,Define!P:P))</f>
        <v>指定のFeatureのParam1を増やす</v>
      </c>
      <c r="E236">
        <v>1050</v>
      </c>
      <c r="F236">
        <v>0</v>
      </c>
      <c r="G236">
        <v>60</v>
      </c>
      <c r="H236">
        <v>100</v>
      </c>
    </row>
    <row r="237" spans="1:8">
      <c r="A237">
        <v>401060</v>
      </c>
      <c r="B237" t="str">
        <f>INDEX(TextData!B:B,MATCH(A237,TextData!A:A))</f>
        <v>イクスティンクション+</v>
      </c>
      <c r="C237">
        <v>6010</v>
      </c>
      <c r="D237" t="str">
        <f>INDEX(Define!Q:Q,MATCH(C237,Define!P:P))</f>
        <v>指定のFeatureのParam1を増やす</v>
      </c>
      <c r="E237">
        <v>1060</v>
      </c>
      <c r="F237">
        <v>0</v>
      </c>
      <c r="G237">
        <v>400</v>
      </c>
      <c r="H237">
        <v>100</v>
      </c>
    </row>
    <row r="238" spans="1:8">
      <c r="A238">
        <v>401070</v>
      </c>
      <c r="B238" t="str">
        <f>INDEX(TextData!B:B,MATCH(A238,TextData!A:A))</f>
        <v>バーニングソウル+</v>
      </c>
      <c r="C238">
        <v>6080</v>
      </c>
      <c r="D238" t="str">
        <f>INDEX(Define!Q:Q,MATCH(C238,Define!P:P))</f>
        <v>指定魔法のCTリセット値を変更する</v>
      </c>
      <c r="E238">
        <v>1070</v>
      </c>
      <c r="F238">
        <v>0</v>
      </c>
      <c r="G238">
        <v>2</v>
      </c>
      <c r="H238">
        <v>100</v>
      </c>
    </row>
    <row r="239" spans="1:8">
      <c r="A239">
        <v>401080</v>
      </c>
      <c r="B239" t="str">
        <f>INDEX(TextData!B:B,MATCH(A239,TextData!A:A))</f>
        <v>レイジングバウンサー+</v>
      </c>
      <c r="C239">
        <v>6030</v>
      </c>
      <c r="D239" t="str">
        <f>INDEX(Define!Q:Q,MATCH(C239,Define!P:P))</f>
        <v>指定のFeatureのParam3を増やす</v>
      </c>
      <c r="E239">
        <v>1080</v>
      </c>
      <c r="F239">
        <v>0</v>
      </c>
      <c r="G239">
        <v>45</v>
      </c>
      <c r="H239">
        <v>100</v>
      </c>
    </row>
    <row r="240" spans="1:8">
      <c r="A240">
        <v>402010</v>
      </c>
      <c r="B240" t="str">
        <f>INDEX(TextData!B:B,MATCH(A240,TextData!A:A))</f>
        <v>ディスチャージ+</v>
      </c>
      <c r="C240">
        <v>6010</v>
      </c>
      <c r="D240" t="str">
        <f>INDEX(Define!Q:Q,MATCH(C240,Define!P:P))</f>
        <v>指定のFeatureのParam1を増やす</v>
      </c>
      <c r="E240">
        <v>2010</v>
      </c>
      <c r="F240">
        <v>0</v>
      </c>
      <c r="G240">
        <v>250</v>
      </c>
      <c r="H240">
        <v>100</v>
      </c>
    </row>
    <row r="241" spans="1:8">
      <c r="A241">
        <v>402020</v>
      </c>
      <c r="B241" t="str">
        <f>INDEX(TextData!B:B,MATCH(A241,TextData!A:A))</f>
        <v>イベイドコード+</v>
      </c>
      <c r="C241">
        <v>6030</v>
      </c>
      <c r="D241" t="str">
        <f>INDEX(Define!Q:Q,MATCH(C241,Define!P:P))</f>
        <v>指定のFeatureのParam3を増やす</v>
      </c>
      <c r="E241">
        <v>2020</v>
      </c>
      <c r="F241">
        <v>0</v>
      </c>
      <c r="G241">
        <v>25</v>
      </c>
      <c r="H241">
        <v>100</v>
      </c>
    </row>
    <row r="242" spans="1:8">
      <c r="A242">
        <v>402030</v>
      </c>
      <c r="B242" t="str">
        <f>INDEX(TextData!B:B,MATCH(A242,TextData!A:A))</f>
        <v>ショックインパルス+</v>
      </c>
      <c r="C242">
        <v>6080</v>
      </c>
      <c r="D242" t="str">
        <f>INDEX(Define!Q:Q,MATCH(C242,Define!P:P))</f>
        <v>指定魔法のCTリセット値を変更する</v>
      </c>
      <c r="E242">
        <v>2030</v>
      </c>
      <c r="F242">
        <v>0</v>
      </c>
      <c r="G242">
        <v>2</v>
      </c>
      <c r="H242">
        <v>100</v>
      </c>
    </row>
    <row r="243" spans="1:8">
      <c r="A243">
        <v>402040</v>
      </c>
      <c r="B243" t="str">
        <f>INDEX(TextData!B:B,MATCH(A243,TextData!A:A))</f>
        <v>トラストチェイン+</v>
      </c>
      <c r="C243">
        <v>6010</v>
      </c>
      <c r="D243" t="str">
        <f>INDEX(Define!Q:Q,MATCH(C243,Define!P:P))</f>
        <v>指定のFeatureのParam1を増やす</v>
      </c>
      <c r="E243">
        <v>2040</v>
      </c>
      <c r="F243">
        <v>0</v>
      </c>
      <c r="G243">
        <v>400</v>
      </c>
      <c r="H243">
        <v>100</v>
      </c>
    </row>
    <row r="244" spans="1:8">
      <c r="A244">
        <v>402050</v>
      </c>
      <c r="B244" t="str">
        <f>INDEX(TextData!B:B,MATCH(A244,TextData!A:A))</f>
        <v>スペルバニシング+</v>
      </c>
      <c r="C244">
        <v>6080</v>
      </c>
      <c r="D244" t="str">
        <f>INDEX(Define!Q:Q,MATCH(C244,Define!P:P))</f>
        <v>指定魔法のCTリセット値を変更する</v>
      </c>
      <c r="E244">
        <v>2050</v>
      </c>
      <c r="F244">
        <v>0</v>
      </c>
      <c r="G244">
        <v>1</v>
      </c>
      <c r="H244">
        <v>100</v>
      </c>
    </row>
    <row r="245" spans="1:8">
      <c r="A245">
        <v>402060</v>
      </c>
      <c r="B245" t="str">
        <f>INDEX(TextData!B:B,MATCH(A245,TextData!A:A))</f>
        <v>アーテニーストライク+</v>
      </c>
      <c r="C245">
        <v>6010</v>
      </c>
      <c r="D245" t="str">
        <f>INDEX(Define!Q:Q,MATCH(C245,Define!P:P))</f>
        <v>指定のFeatureのParam1を増やす</v>
      </c>
      <c r="E245">
        <v>2060</v>
      </c>
      <c r="F245">
        <v>0</v>
      </c>
      <c r="G245">
        <v>250</v>
      </c>
      <c r="H245">
        <v>100</v>
      </c>
    </row>
    <row r="246" spans="1:8">
      <c r="A246">
        <v>402070</v>
      </c>
      <c r="B246" t="str">
        <f>INDEX(TextData!B:B,MATCH(A246,TextData!A:A))</f>
        <v>コンセントレイト+</v>
      </c>
      <c r="C246">
        <v>6030</v>
      </c>
      <c r="D246" t="str">
        <f>INDEX(Define!Q:Q,MATCH(C246,Define!P:P))</f>
        <v>指定のFeatureのParam3を増やす</v>
      </c>
      <c r="E246">
        <v>2070</v>
      </c>
      <c r="F246">
        <v>0</v>
      </c>
      <c r="G246">
        <v>40</v>
      </c>
      <c r="H246">
        <v>100</v>
      </c>
    </row>
    <row r="247" spans="1:8">
      <c r="A247">
        <v>402080</v>
      </c>
      <c r="B247" t="str">
        <f>INDEX(TextData!B:B,MATCH(A247,TextData!A:A))</f>
        <v>ディレイマジック+</v>
      </c>
      <c r="C247">
        <v>6010</v>
      </c>
      <c r="D247" t="str">
        <f>INDEX(Define!Q:Q,MATCH(C247,Define!P:P))</f>
        <v>指定のFeatureのParam1を増やす</v>
      </c>
      <c r="E247">
        <v>2080</v>
      </c>
      <c r="F247">
        <v>1</v>
      </c>
      <c r="G247">
        <v>2</v>
      </c>
      <c r="H247">
        <v>100</v>
      </c>
    </row>
    <row r="248" spans="1:8">
      <c r="A248">
        <v>403010</v>
      </c>
      <c r="B248" t="str">
        <f>INDEX(TextData!B:B,MATCH(A248,TextData!A:A))</f>
        <v>アイスブレイド+</v>
      </c>
      <c r="C248">
        <v>6010</v>
      </c>
      <c r="D248" t="str">
        <f>INDEX(Define!Q:Q,MATCH(C248,Define!P:P))</f>
        <v>指定のFeatureのParam1を増やす</v>
      </c>
      <c r="E248">
        <v>3010</v>
      </c>
      <c r="F248">
        <v>0</v>
      </c>
      <c r="G248">
        <v>250</v>
      </c>
      <c r="H248">
        <v>100</v>
      </c>
    </row>
    <row r="249" spans="1:8">
      <c r="A249">
        <v>403020</v>
      </c>
      <c r="B249" t="str">
        <f>INDEX(TextData!B:B,MATCH(A249,TextData!A:A))</f>
        <v>カウンターオーラ+</v>
      </c>
      <c r="C249">
        <v>6030</v>
      </c>
      <c r="D249" t="str">
        <f>INDEX(Define!Q:Q,MATCH(C249,Define!P:P))</f>
        <v>指定のFeatureのParam3を増やす</v>
      </c>
      <c r="E249">
        <v>3020</v>
      </c>
      <c r="F249">
        <v>0</v>
      </c>
      <c r="G249">
        <v>40</v>
      </c>
      <c r="H249">
        <v>100</v>
      </c>
    </row>
    <row r="250" spans="1:8">
      <c r="A250">
        <v>403030</v>
      </c>
      <c r="B250" t="str">
        <f>INDEX(TextData!B:B,MATCH(A250,TextData!A:A))</f>
        <v>ラインプロテクト+</v>
      </c>
      <c r="C250">
        <v>6030</v>
      </c>
      <c r="D250" t="str">
        <f>INDEX(Define!Q:Q,MATCH(C250,Define!P:P))</f>
        <v>指定のFeatureのParam3を増やす</v>
      </c>
      <c r="E250">
        <v>3030</v>
      </c>
      <c r="F250">
        <v>0</v>
      </c>
      <c r="G250">
        <v>20</v>
      </c>
      <c r="H250">
        <v>100</v>
      </c>
    </row>
    <row r="251" spans="1:8">
      <c r="A251">
        <v>403040</v>
      </c>
      <c r="B251" t="str">
        <f>INDEX(TextData!B:B,MATCH(A251,TextData!A:A))</f>
        <v>エスコートソール+</v>
      </c>
      <c r="C251">
        <v>6030</v>
      </c>
      <c r="D251" t="str">
        <f>INDEX(Define!Q:Q,MATCH(C251,Define!P:P))</f>
        <v>指定のFeatureのParam3を増やす</v>
      </c>
      <c r="E251">
        <v>3040</v>
      </c>
      <c r="F251">
        <v>0</v>
      </c>
      <c r="G251">
        <v>40</v>
      </c>
      <c r="H251">
        <v>100</v>
      </c>
    </row>
    <row r="252" spans="1:8">
      <c r="A252">
        <v>403050</v>
      </c>
      <c r="B252" t="str">
        <f>INDEX(TextData!B:B,MATCH(A252,TextData!A:A))</f>
        <v>ディープフリーズ+</v>
      </c>
      <c r="C252">
        <v>6030</v>
      </c>
      <c r="D252" t="str">
        <f>INDEX(Define!Q:Q,MATCH(C252,Define!P:P))</f>
        <v>指定のFeatureのParam3を増やす</v>
      </c>
      <c r="E252">
        <v>3050</v>
      </c>
      <c r="F252">
        <v>0</v>
      </c>
      <c r="G252">
        <v>40</v>
      </c>
      <c r="H252">
        <v>100</v>
      </c>
    </row>
    <row r="253" spans="1:8">
      <c r="A253">
        <v>403060</v>
      </c>
      <c r="B253" t="str">
        <f>INDEX(TextData!B:B,MATCH(A253,TextData!A:A))</f>
        <v>バブルブロウ+</v>
      </c>
      <c r="C253">
        <v>6030</v>
      </c>
      <c r="D253" t="str">
        <f>INDEX(Define!Q:Q,MATCH(C253,Define!P:P))</f>
        <v>指定のFeatureのParam3を増やす</v>
      </c>
      <c r="E253">
        <v>3060</v>
      </c>
      <c r="F253">
        <v>1</v>
      </c>
      <c r="G253">
        <v>12</v>
      </c>
      <c r="H253">
        <v>100</v>
      </c>
    </row>
    <row r="254" spans="1:8">
      <c r="A254">
        <v>403070</v>
      </c>
      <c r="B254" t="str">
        <f>INDEX(TextData!B:B,MATCH(A254,TextData!A:A))</f>
        <v>アクアミラージュ+</v>
      </c>
      <c r="C254">
        <v>6020</v>
      </c>
      <c r="D254" t="str">
        <f>INDEX(Define!Q:Q,MATCH(C254,Define!P:P))</f>
        <v>指定のFeatureのParam2を増やす</v>
      </c>
      <c r="E254">
        <v>3070</v>
      </c>
      <c r="F254">
        <v>0</v>
      </c>
      <c r="G254">
        <v>2</v>
      </c>
      <c r="H254">
        <v>100</v>
      </c>
    </row>
    <row r="255" spans="1:8">
      <c r="A255">
        <v>403080</v>
      </c>
      <c r="B255" t="str">
        <f>INDEX(TextData!B:B,MATCH(A255,TextData!A:A))</f>
        <v>フロストシールド+</v>
      </c>
      <c r="C255">
        <v>6030</v>
      </c>
      <c r="D255" t="str">
        <f>INDEX(Define!Q:Q,MATCH(C255,Define!P:P))</f>
        <v>指定のFeatureのParam3を増やす</v>
      </c>
      <c r="E255">
        <v>3080</v>
      </c>
      <c r="F255">
        <v>0</v>
      </c>
      <c r="G255">
        <v>30</v>
      </c>
      <c r="H255">
        <v>100</v>
      </c>
    </row>
    <row r="256" spans="1:8">
      <c r="A256">
        <v>404010</v>
      </c>
      <c r="B256" t="str">
        <f>INDEX(TextData!B:B,MATCH(A256,TextData!A:A))</f>
        <v>セイントレーザー+</v>
      </c>
      <c r="C256">
        <v>6010</v>
      </c>
      <c r="D256" t="str">
        <f>INDEX(Define!Q:Q,MATCH(C256,Define!P:P))</f>
        <v>指定のFeatureのParam1を増やす</v>
      </c>
      <c r="E256">
        <v>4010</v>
      </c>
      <c r="F256">
        <v>0</v>
      </c>
      <c r="G256">
        <v>250</v>
      </c>
      <c r="H256">
        <v>100</v>
      </c>
    </row>
    <row r="257" spans="1:8">
      <c r="A257">
        <v>404020</v>
      </c>
      <c r="B257" t="str">
        <f>INDEX(TextData!B:B,MATCH(A257,TextData!A:A))</f>
        <v>ペネトレイト+</v>
      </c>
      <c r="C257">
        <v>6010</v>
      </c>
      <c r="D257" t="str">
        <f>INDEX(Define!Q:Q,MATCH(C257,Define!P:P))</f>
        <v>指定のFeatureのParam1を増やす</v>
      </c>
      <c r="E257">
        <v>4020</v>
      </c>
      <c r="F257">
        <v>0</v>
      </c>
      <c r="G257">
        <v>250</v>
      </c>
      <c r="H257">
        <v>100</v>
      </c>
    </row>
    <row r="258" spans="1:8">
      <c r="A258">
        <v>404030</v>
      </c>
      <c r="B258" t="str">
        <f>INDEX(TextData!B:B,MATCH(A258,TextData!A:A))</f>
        <v>ヒーリング+</v>
      </c>
      <c r="C258">
        <v>6210</v>
      </c>
      <c r="D258" t="str">
        <f>INDEX(Define!Q:Q,MATCH(C258,Define!P:P))</f>
        <v>指定魔法の対象を変更（強化限定）</v>
      </c>
      <c r="E258">
        <v>4030</v>
      </c>
      <c r="F258">
        <v>0</v>
      </c>
      <c r="G258">
        <v>31</v>
      </c>
      <c r="H258">
        <v>100</v>
      </c>
    </row>
    <row r="259" spans="1:8">
      <c r="A259">
        <v>404040</v>
      </c>
      <c r="B259" t="str">
        <f>INDEX(TextData!B:B,MATCH(A259,TextData!A:A))</f>
        <v>リザイアフォトン+</v>
      </c>
      <c r="C259">
        <v>6030</v>
      </c>
      <c r="D259" t="str">
        <f>INDEX(Define!Q:Q,MATCH(C259,Define!P:P))</f>
        <v>指定のFeatureのParam3を増やす</v>
      </c>
      <c r="E259">
        <v>4040</v>
      </c>
      <c r="F259">
        <v>1</v>
      </c>
      <c r="G259">
        <v>30</v>
      </c>
      <c r="H259">
        <v>100</v>
      </c>
    </row>
    <row r="260" spans="1:8">
      <c r="A260">
        <v>404050</v>
      </c>
      <c r="B260" t="str">
        <f>INDEX(TextData!B:B,MATCH(A260,TextData!A:A))</f>
        <v>べネディクション+</v>
      </c>
      <c r="C260">
        <v>6080</v>
      </c>
      <c r="D260" t="str">
        <f>INDEX(Define!Q:Q,MATCH(C260,Define!P:P))</f>
        <v>指定魔法のCTリセット値を変更する</v>
      </c>
      <c r="E260">
        <v>4050</v>
      </c>
      <c r="F260">
        <v>0</v>
      </c>
      <c r="G260">
        <v>2</v>
      </c>
      <c r="H260">
        <v>100</v>
      </c>
    </row>
    <row r="261" spans="1:8">
      <c r="A261">
        <v>404060</v>
      </c>
      <c r="B261" t="str">
        <f>INDEX(TextData!B:B,MATCH(A261,TextData!A:A))</f>
        <v>ホーリーグレイス+</v>
      </c>
      <c r="C261">
        <v>6080</v>
      </c>
      <c r="D261" t="str">
        <f>INDEX(Define!Q:Q,MATCH(C261,Define!P:P))</f>
        <v>指定魔法のCTリセット値を変更する</v>
      </c>
      <c r="E261">
        <v>4060</v>
      </c>
      <c r="F261">
        <v>0</v>
      </c>
      <c r="G261">
        <v>5</v>
      </c>
      <c r="H261">
        <v>100</v>
      </c>
    </row>
    <row r="262" spans="1:8">
      <c r="A262">
        <v>404070</v>
      </c>
      <c r="B262" t="str">
        <f>INDEX(TextData!B:B,MATCH(A262,TextData!A:A))</f>
        <v>キュアエール+</v>
      </c>
      <c r="C262">
        <v>6030</v>
      </c>
      <c r="D262" t="str">
        <f>INDEX(Define!Q:Q,MATCH(C262,Define!P:P))</f>
        <v>指定のFeatureのParam3を増やす</v>
      </c>
      <c r="E262">
        <v>4070</v>
      </c>
      <c r="F262">
        <v>0</v>
      </c>
      <c r="G262">
        <v>25</v>
      </c>
      <c r="H262">
        <v>100</v>
      </c>
    </row>
    <row r="263" spans="1:8">
      <c r="A263">
        <v>404080</v>
      </c>
      <c r="B263" t="str">
        <f>INDEX(TextData!B:B,MATCH(A263,TextData!A:A))</f>
        <v>ラインバリア+</v>
      </c>
      <c r="C263">
        <v>6080</v>
      </c>
      <c r="D263" t="str">
        <f>INDEX(Define!Q:Q,MATCH(C263,Define!P:P))</f>
        <v>指定魔法のCTリセット値を変更する</v>
      </c>
      <c r="E263">
        <v>4080</v>
      </c>
      <c r="F263">
        <v>0</v>
      </c>
      <c r="G263">
        <v>3</v>
      </c>
      <c r="H263">
        <v>100</v>
      </c>
    </row>
    <row r="264" spans="1:8">
      <c r="A264">
        <v>405010</v>
      </c>
      <c r="B264" t="str">
        <f>INDEX(TextData!B:B,MATCH(A264,TextData!A:A))</f>
        <v>ダークプリズン+</v>
      </c>
      <c r="C264">
        <v>6010</v>
      </c>
      <c r="D264" t="str">
        <f>INDEX(Define!Q:Q,MATCH(C264,Define!P:P))</f>
        <v>指定のFeatureのParam1を増やす</v>
      </c>
      <c r="E264">
        <v>5010</v>
      </c>
      <c r="F264">
        <v>0</v>
      </c>
      <c r="G264">
        <v>250</v>
      </c>
      <c r="H264">
        <v>100</v>
      </c>
    </row>
    <row r="265" spans="1:8">
      <c r="A265">
        <v>405020</v>
      </c>
      <c r="B265" t="str">
        <f>INDEX(TextData!B:B,MATCH(A265,TextData!A:A))</f>
        <v>ユーサネイジア+</v>
      </c>
      <c r="C265">
        <v>6010</v>
      </c>
      <c r="D265" t="str">
        <f>INDEX(Define!Q:Q,MATCH(C265,Define!P:P))</f>
        <v>指定のFeatureのParam1を増やす</v>
      </c>
      <c r="E265">
        <v>5020</v>
      </c>
      <c r="F265">
        <v>0</v>
      </c>
      <c r="G265">
        <v>200</v>
      </c>
      <c r="H265">
        <v>100</v>
      </c>
    </row>
    <row r="266" spans="1:8">
      <c r="A266">
        <v>405030</v>
      </c>
      <c r="B266" t="str">
        <f>INDEX(TextData!B:B,MATCH(A266,TextData!A:A))</f>
        <v>ドレインヒール+</v>
      </c>
      <c r="C266">
        <v>6030</v>
      </c>
      <c r="D266" t="str">
        <f>INDEX(Define!Q:Q,MATCH(C266,Define!P:P))</f>
        <v>指定のFeatureのParam3を増やす</v>
      </c>
      <c r="E266">
        <v>5030</v>
      </c>
      <c r="F266">
        <v>0</v>
      </c>
      <c r="G266">
        <v>100</v>
      </c>
      <c r="H266">
        <v>100</v>
      </c>
    </row>
    <row r="267" spans="1:8">
      <c r="A267">
        <v>405040</v>
      </c>
      <c r="B267" t="str">
        <f>INDEX(TextData!B:B,MATCH(A267,TextData!A:A))</f>
        <v>アビサルデスペア+</v>
      </c>
      <c r="C267">
        <v>6020</v>
      </c>
      <c r="D267" t="str">
        <f>INDEX(Define!Q:Q,MATCH(C267,Define!P:P))</f>
        <v>指定のFeatureのParam2を増やす</v>
      </c>
      <c r="E267">
        <v>5040</v>
      </c>
      <c r="F267">
        <v>0</v>
      </c>
      <c r="G267">
        <v>5</v>
      </c>
      <c r="H267">
        <v>100</v>
      </c>
    </row>
    <row r="268" spans="1:8">
      <c r="A268">
        <v>405050</v>
      </c>
      <c r="B268" t="str">
        <f>INDEX(TextData!B:B,MATCH(A268,TextData!A:A))</f>
        <v>ディプラヴィティ+</v>
      </c>
      <c r="C268">
        <v>6030</v>
      </c>
      <c r="D268" t="str">
        <f>INDEX(Define!Q:Q,MATCH(C268,Define!P:P))</f>
        <v>指定のFeatureのParam3を増やす</v>
      </c>
      <c r="E268">
        <v>5050</v>
      </c>
      <c r="F268">
        <v>0</v>
      </c>
      <c r="G268">
        <v>3</v>
      </c>
      <c r="H268">
        <v>100</v>
      </c>
    </row>
    <row r="269" spans="1:8">
      <c r="A269">
        <v>405060</v>
      </c>
      <c r="B269" t="str">
        <f>INDEX(TextData!B:B,MATCH(A269,TextData!A:A))</f>
        <v>ダークネス+</v>
      </c>
      <c r="C269">
        <v>6030</v>
      </c>
      <c r="D269" t="str">
        <f>INDEX(Define!Q:Q,MATCH(C269,Define!P:P))</f>
        <v>指定のFeatureのParam3を増やす</v>
      </c>
      <c r="E269">
        <v>5060</v>
      </c>
      <c r="F269">
        <v>0</v>
      </c>
      <c r="G269">
        <v>50</v>
      </c>
      <c r="H269">
        <v>100</v>
      </c>
    </row>
    <row r="270" spans="1:8">
      <c r="A270">
        <v>405070</v>
      </c>
      <c r="B270" t="str">
        <f>INDEX(TextData!B:B,MATCH(A270,TextData!A:A))</f>
        <v>シェイディークラウド+</v>
      </c>
      <c r="C270">
        <v>6030</v>
      </c>
      <c r="D270" t="str">
        <f>INDEX(Define!Q:Q,MATCH(C270,Define!P:P))</f>
        <v>指定のFeatureのParam3を増やす</v>
      </c>
      <c r="E270">
        <v>5070</v>
      </c>
      <c r="F270">
        <v>0</v>
      </c>
      <c r="G270">
        <v>12</v>
      </c>
      <c r="H270">
        <v>100</v>
      </c>
    </row>
    <row r="271" spans="1:8">
      <c r="A271">
        <v>405080</v>
      </c>
      <c r="B271" t="str">
        <f>INDEX(TextData!B:B,MATCH(A271,TextData!A:A))</f>
        <v>ポイズンブロウ+</v>
      </c>
      <c r="C271">
        <v>6030</v>
      </c>
      <c r="D271" t="str">
        <f>INDEX(Define!Q:Q,MATCH(C271,Define!P:P))</f>
        <v>指定のFeatureのParam3を増やす</v>
      </c>
      <c r="E271">
        <v>5080</v>
      </c>
      <c r="F271">
        <v>0</v>
      </c>
      <c r="G271">
        <v>20</v>
      </c>
      <c r="H271">
        <v>100</v>
      </c>
    </row>
    <row r="272" spans="1:8">
      <c r="A272">
        <v>411010</v>
      </c>
      <c r="B272" t="str">
        <f>INDEX(TextData!B:B,MATCH(A272,TextData!A:A))</f>
        <v>ウルフソウル+</v>
      </c>
      <c r="C272">
        <v>6030</v>
      </c>
      <c r="D272" t="str">
        <f>INDEX(Define!Q:Q,MATCH(C272,Define!P:P))</f>
        <v>指定のFeatureのParam3を増やす</v>
      </c>
      <c r="E272">
        <v>11010</v>
      </c>
      <c r="F272">
        <v>0</v>
      </c>
      <c r="G272">
        <v>8</v>
      </c>
      <c r="H272">
        <v>100</v>
      </c>
    </row>
    <row r="273" spans="1:8">
      <c r="A273">
        <v>411020</v>
      </c>
      <c r="B273" t="str">
        <f>INDEX(TextData!B:B,MATCH(A273,TextData!A:A))</f>
        <v>プリディカメント+</v>
      </c>
      <c r="C273">
        <v>6030</v>
      </c>
      <c r="D273" t="str">
        <f>INDEX(Define!Q:Q,MATCH(C273,Define!P:P))</f>
        <v>指定のFeatureのParam3を増やす</v>
      </c>
      <c r="E273">
        <v>11020</v>
      </c>
      <c r="F273">
        <v>0</v>
      </c>
      <c r="G273">
        <v>16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0</v>
      </c>
      <c r="G274">
        <v>8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INDEX(Define!Q:Q,MATCH(C275,Define!P:P))</f>
        <v>指定のFeatureのParam3を増やす</v>
      </c>
      <c r="E275">
        <v>11030</v>
      </c>
      <c r="F275">
        <v>1</v>
      </c>
      <c r="G275">
        <v>8</v>
      </c>
      <c r="H275">
        <v>100</v>
      </c>
    </row>
    <row r="276" spans="1:8">
      <c r="A276">
        <v>411040</v>
      </c>
      <c r="B276" t="str">
        <f>INDEX(TextData!B:B,MATCH(A276,TextData!A:A))</f>
        <v>アクティブギフト+</v>
      </c>
      <c r="C276">
        <v>6080</v>
      </c>
      <c r="D276" t="str">
        <f>INDEX(Define!Q:Q,MATCH(C276,Define!P:P))</f>
        <v>指定魔法のCTリセット値を変更する</v>
      </c>
      <c r="E276">
        <v>11040</v>
      </c>
      <c r="F276">
        <v>0</v>
      </c>
      <c r="G276">
        <v>3</v>
      </c>
      <c r="H276">
        <v>100</v>
      </c>
    </row>
    <row r="277" spans="1:8">
      <c r="A277">
        <v>411050</v>
      </c>
      <c r="B277" t="str">
        <f>INDEX(TextData!B:B,MATCH(A277,TextData!A:A))</f>
        <v>イグナイテッド+</v>
      </c>
      <c r="C277">
        <v>6010</v>
      </c>
      <c r="D277" t="str">
        <f>INDEX(Define!Q:Q,MATCH(C277,Define!P:P))</f>
        <v>指定のFeatureのParam1を増やす</v>
      </c>
      <c r="E277">
        <v>11050</v>
      </c>
      <c r="F277">
        <v>0</v>
      </c>
      <c r="G277">
        <v>6</v>
      </c>
      <c r="H277">
        <v>100</v>
      </c>
    </row>
    <row r="278" spans="1:8">
      <c r="A278">
        <v>411060</v>
      </c>
      <c r="B278" t="str">
        <f>INDEX(TextData!B:B,MATCH(A278,TextData!A:A))</f>
        <v>ライジングファイア+</v>
      </c>
      <c r="C278">
        <v>6010</v>
      </c>
      <c r="D278" t="str">
        <f>INDEX(Define!Q:Q,MATCH(C278,Define!P:P))</f>
        <v>指定のFeatureのParam1を増やす</v>
      </c>
      <c r="E278">
        <v>11060</v>
      </c>
      <c r="F278">
        <v>0</v>
      </c>
      <c r="G278">
        <v>2</v>
      </c>
      <c r="H278">
        <v>100</v>
      </c>
    </row>
    <row r="279" spans="1:8">
      <c r="A279">
        <v>411070</v>
      </c>
      <c r="B279" t="str">
        <f>INDEX(TextData!B:B,MATCH(A279,TextData!A:A))</f>
        <v>ルージュバック+</v>
      </c>
      <c r="C279">
        <v>6030</v>
      </c>
      <c r="D279" t="str">
        <f>INDEX(Define!Q:Q,MATCH(C279,Define!P:P))</f>
        <v>指定のFeatureのParam3を増やす</v>
      </c>
      <c r="E279">
        <v>11070</v>
      </c>
      <c r="F279">
        <v>0</v>
      </c>
      <c r="G279">
        <v>4</v>
      </c>
      <c r="H279">
        <v>100</v>
      </c>
    </row>
    <row r="280" spans="1:8">
      <c r="A280">
        <v>411080</v>
      </c>
      <c r="B280" t="str">
        <f>INDEX(TextData!B:B,MATCH(A280,TextData!A:A))</f>
        <v>パワーエール+</v>
      </c>
      <c r="C280">
        <v>6030</v>
      </c>
      <c r="D280" t="str">
        <f>INDEX(Define!Q:Q,MATCH(C280,Define!P:P))</f>
        <v>指定のFeatureのParam3を増やす</v>
      </c>
      <c r="E280">
        <v>11080</v>
      </c>
      <c r="F280">
        <v>0</v>
      </c>
      <c r="G280">
        <v>8</v>
      </c>
      <c r="H280">
        <v>100</v>
      </c>
    </row>
    <row r="281" spans="1:8">
      <c r="A281">
        <v>411090</v>
      </c>
      <c r="B281" t="str">
        <f>INDEX(TextData!B:B,MATCH(A281,TextData!A:A))</f>
        <v>スレイプニル+</v>
      </c>
      <c r="C281">
        <v>6030</v>
      </c>
      <c r="D281" t="str">
        <f>INDEX(Define!Q:Q,MATCH(C281,Define!P:P))</f>
        <v>指定のFeatureのParam3を増やす</v>
      </c>
      <c r="E281">
        <v>11090</v>
      </c>
      <c r="F281">
        <v>0</v>
      </c>
      <c r="G281">
        <v>25</v>
      </c>
      <c r="H281">
        <v>100</v>
      </c>
    </row>
    <row r="282" spans="1:8">
      <c r="A282">
        <v>412010</v>
      </c>
      <c r="B282" t="str">
        <f>INDEX(TextData!B:B,MATCH(A282,TextData!A:A))</f>
        <v>エクステンション+</v>
      </c>
      <c r="C282">
        <v>6210</v>
      </c>
      <c r="D282" t="str">
        <f>INDEX(Define!Q:Q,MATCH(C282,Define!P:P))</f>
        <v>指定魔法の対象を変更（強化限定）</v>
      </c>
      <c r="E282">
        <v>12010</v>
      </c>
      <c r="F282">
        <v>0</v>
      </c>
      <c r="G282">
        <v>31</v>
      </c>
      <c r="H282">
        <v>100</v>
      </c>
    </row>
    <row r="283" spans="1:8">
      <c r="A283">
        <v>412020</v>
      </c>
      <c r="B283" t="str">
        <f>INDEX(TextData!B:B,MATCH(A283,TextData!A:A))</f>
        <v>ヘブンリーラック+</v>
      </c>
      <c r="C283">
        <v>6030</v>
      </c>
      <c r="D283" t="str">
        <f>INDEX(Define!Q:Q,MATCH(C283,Define!P:P))</f>
        <v>指定のFeatureのParam3を増やす</v>
      </c>
      <c r="E283">
        <v>12020</v>
      </c>
      <c r="F283">
        <v>0</v>
      </c>
      <c r="G283">
        <v>20</v>
      </c>
      <c r="H283">
        <v>100</v>
      </c>
    </row>
    <row r="284" spans="1:8">
      <c r="A284">
        <v>412030</v>
      </c>
      <c r="B284" t="str">
        <f>INDEX(TextData!B:B,MATCH(A284,TextData!A:A))</f>
        <v>スウィフトカレント+</v>
      </c>
      <c r="C284">
        <v>6030</v>
      </c>
      <c r="D284" t="str">
        <f>INDEX(Define!Q:Q,MATCH(C284,Define!P:P))</f>
        <v>指定のFeatureのParam3を増やす</v>
      </c>
      <c r="E284">
        <v>12030</v>
      </c>
      <c r="F284">
        <v>0</v>
      </c>
      <c r="G284">
        <v>10</v>
      </c>
      <c r="H284">
        <v>100</v>
      </c>
    </row>
    <row r="285" spans="1:8">
      <c r="A285">
        <v>412040</v>
      </c>
      <c r="B285" t="str">
        <f>INDEX(TextData!B:B,MATCH(A285,TextData!A:A))</f>
        <v>イヴェイドオール+</v>
      </c>
      <c r="C285">
        <v>6030</v>
      </c>
      <c r="D285" t="str">
        <f>INDEX(Define!Q:Q,MATCH(C285,Define!P:P))</f>
        <v>指定のFeatureのParam3を増やす</v>
      </c>
      <c r="E285">
        <v>12040</v>
      </c>
      <c r="F285">
        <v>0</v>
      </c>
      <c r="G285">
        <v>10</v>
      </c>
      <c r="H285">
        <v>100</v>
      </c>
    </row>
    <row r="286" spans="1:8">
      <c r="A286">
        <v>412050</v>
      </c>
      <c r="B286" t="str">
        <f>INDEX(TextData!B:B,MATCH(A286,TextData!A:A))</f>
        <v>クイックムーブ+</v>
      </c>
      <c r="C286">
        <v>6010</v>
      </c>
      <c r="D286" t="str">
        <f>INDEX(Define!Q:Q,MATCH(C286,Define!P:P))</f>
        <v>指定のFeatureのParam1を増やす</v>
      </c>
      <c r="E286">
        <v>12050</v>
      </c>
      <c r="F286">
        <v>0</v>
      </c>
      <c r="G286">
        <v>400</v>
      </c>
      <c r="H286">
        <v>100</v>
      </c>
    </row>
    <row r="287" spans="1:8">
      <c r="A287">
        <v>412060</v>
      </c>
      <c r="B287" t="str">
        <f>INDEX(TextData!B:B,MATCH(A287,TextData!A:A))</f>
        <v>チェイスマジック+</v>
      </c>
      <c r="C287">
        <v>6010</v>
      </c>
      <c r="D287" t="str">
        <f>INDEX(Define!Q:Q,MATCH(C287,Define!P:P))</f>
        <v>指定のFeatureのParam1を増やす</v>
      </c>
      <c r="E287">
        <v>12060</v>
      </c>
      <c r="F287">
        <v>0</v>
      </c>
      <c r="G287">
        <v>300</v>
      </c>
      <c r="H287">
        <v>100</v>
      </c>
    </row>
    <row r="288" spans="1:8">
      <c r="A288">
        <v>412070</v>
      </c>
      <c r="B288" t="str">
        <f>INDEX(TextData!B:B,MATCH(A288,TextData!A:A))</f>
        <v>ソーサリーコネクト+</v>
      </c>
      <c r="C288">
        <v>6030</v>
      </c>
      <c r="D288" t="str">
        <f>INDEX(Define!Q:Q,MATCH(C288,Define!P:P))</f>
        <v>指定のFeatureのParam3を増やす</v>
      </c>
      <c r="E288">
        <v>12070</v>
      </c>
      <c r="F288">
        <v>0</v>
      </c>
      <c r="G288">
        <v>16</v>
      </c>
      <c r="H288">
        <v>100</v>
      </c>
    </row>
    <row r="289" spans="1:8">
      <c r="A289">
        <v>412080</v>
      </c>
      <c r="B289" t="str">
        <f>INDEX(TextData!B:B,MATCH(A289,TextData!A:A))</f>
        <v>ウィンドライズ+</v>
      </c>
      <c r="C289">
        <v>6010</v>
      </c>
      <c r="D289" t="str">
        <f>INDEX(Define!Q:Q,MATCH(C289,Define!P:P))</f>
        <v>指定のFeatureのParam1を増やす</v>
      </c>
      <c r="E289">
        <v>12080</v>
      </c>
      <c r="F289">
        <v>0</v>
      </c>
      <c r="G289">
        <v>300</v>
      </c>
      <c r="H289">
        <v>100</v>
      </c>
    </row>
    <row r="290" spans="1:8">
      <c r="A290">
        <v>412090</v>
      </c>
      <c r="B290" t="str">
        <f>INDEX(TextData!B:B,MATCH(A290,TextData!A:A))</f>
        <v>アウトオブオーダー+</v>
      </c>
      <c r="C290">
        <v>6010</v>
      </c>
      <c r="D290" t="str">
        <f>INDEX(Define!Q:Q,MATCH(C290,Define!P:P))</f>
        <v>指定のFeatureのParam1を増やす</v>
      </c>
      <c r="E290">
        <v>12090</v>
      </c>
      <c r="F290">
        <v>0</v>
      </c>
      <c r="G290">
        <v>400</v>
      </c>
      <c r="H290">
        <v>100</v>
      </c>
    </row>
    <row r="291" spans="1:8">
      <c r="A291">
        <v>413010</v>
      </c>
      <c r="B291" t="str">
        <f>INDEX(TextData!B:B,MATCH(A291,TextData!A:A))</f>
        <v>アーマーコード+</v>
      </c>
      <c r="C291">
        <v>6030</v>
      </c>
      <c r="D291" t="str">
        <f>INDEX(Define!Q:Q,MATCH(C291,Define!P:P))</f>
        <v>指定のFeatureのParam3を増やす</v>
      </c>
      <c r="E291">
        <v>13010</v>
      </c>
      <c r="F291">
        <v>0</v>
      </c>
      <c r="G291">
        <v>8</v>
      </c>
      <c r="H291">
        <v>100</v>
      </c>
    </row>
    <row r="292" spans="1:8">
      <c r="A292">
        <v>413020</v>
      </c>
      <c r="B292" t="str">
        <f>INDEX(TextData!B:B,MATCH(A292,TextData!A:A))</f>
        <v>クイックバリア+</v>
      </c>
      <c r="C292">
        <v>6030</v>
      </c>
      <c r="D292" t="str">
        <f>INDEX(Define!Q:Q,MATCH(C292,Define!P:P))</f>
        <v>指定のFeatureのParam3を増やす</v>
      </c>
      <c r="E292">
        <v>13020</v>
      </c>
      <c r="F292">
        <v>0</v>
      </c>
      <c r="G292">
        <v>50</v>
      </c>
      <c r="H292">
        <v>100</v>
      </c>
    </row>
    <row r="293" spans="1:8">
      <c r="A293">
        <v>413030</v>
      </c>
      <c r="B293" t="str">
        <f>INDEX(TextData!B:B,MATCH(A293,TextData!A:A))</f>
        <v>クイックキュア+</v>
      </c>
      <c r="C293">
        <v>6080</v>
      </c>
      <c r="D293" t="str">
        <f>INDEX(Define!Q:Q,MATCH(C293,Define!P:P))</f>
        <v>指定魔法のCTリセット値を変更する</v>
      </c>
      <c r="E293">
        <v>14090</v>
      </c>
      <c r="F293">
        <v>0</v>
      </c>
      <c r="G293">
        <v>1</v>
      </c>
      <c r="H293">
        <v>100</v>
      </c>
    </row>
    <row r="294" spans="1:8">
      <c r="A294">
        <v>413040</v>
      </c>
      <c r="B294" t="str">
        <f>INDEX(TextData!B:B,MATCH(A294,TextData!A:A))</f>
        <v>セルフシールド+</v>
      </c>
      <c r="C294">
        <v>6030</v>
      </c>
      <c r="D294" t="str">
        <f>INDEX(Define!Q:Q,MATCH(C294,Define!P:P))</f>
        <v>指定のFeatureのParam3を増やす</v>
      </c>
      <c r="E294">
        <v>13040</v>
      </c>
      <c r="F294">
        <v>0</v>
      </c>
      <c r="G294">
        <v>50</v>
      </c>
      <c r="H294">
        <v>100</v>
      </c>
    </row>
    <row r="295" spans="1:8">
      <c r="A295">
        <v>413050</v>
      </c>
      <c r="B295" t="str">
        <f>INDEX(TextData!B:B,MATCH(A295,TextData!A:A))</f>
        <v>パッシブジャミング+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413060</v>
      </c>
      <c r="B296" t="str">
        <f>INDEX(TextData!B:B,MATCH(A296,TextData!A:A))</f>
        <v>サプライカバー+</v>
      </c>
      <c r="C296">
        <v>6080</v>
      </c>
      <c r="D296" t="str">
        <f>INDEX(Define!Q:Q,MATCH(C296,Define!P:P))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413070</v>
      </c>
      <c r="B297" t="str">
        <f>INDEX(TextData!B:B,MATCH(A297,TextData!A:A))</f>
        <v>アシッドラッシュ+</v>
      </c>
      <c r="C297">
        <v>6010</v>
      </c>
      <c r="D297" t="str">
        <f>INDEX(Define!Q:Q,MATCH(C297,Define!P:P))</f>
        <v>指定のFeatureのParam1を増やす</v>
      </c>
      <c r="E297">
        <v>13070</v>
      </c>
      <c r="F297">
        <v>0</v>
      </c>
      <c r="G297">
        <v>400</v>
      </c>
      <c r="H297">
        <v>100</v>
      </c>
    </row>
    <row r="298" spans="1:8">
      <c r="A298">
        <v>413080</v>
      </c>
      <c r="B298" t="str">
        <f>INDEX(TextData!B:B,MATCH(A298,TextData!A:A))</f>
        <v>ライフスティール+</v>
      </c>
      <c r="C298">
        <v>6030</v>
      </c>
      <c r="D298" t="str">
        <f>INDEX(Define!Q:Q,MATCH(C298,Define!P:P))</f>
        <v>指定のFeatureのParam3を増やす</v>
      </c>
      <c r="E298">
        <v>13080</v>
      </c>
      <c r="F298">
        <v>0</v>
      </c>
      <c r="G298">
        <v>50</v>
      </c>
      <c r="H298">
        <v>100</v>
      </c>
    </row>
    <row r="299" spans="1:8">
      <c r="A299">
        <v>413090</v>
      </c>
      <c r="B299" t="str">
        <f>INDEX(TextData!B:B,MATCH(A299,TextData!A:A))</f>
        <v>アイスセイバー+</v>
      </c>
      <c r="C299">
        <v>6030</v>
      </c>
      <c r="D299" t="str">
        <f>INDEX(Define!Q:Q,MATCH(C299,Define!P:P))</f>
        <v>指定のFeatureのParam3を増やす</v>
      </c>
      <c r="E299">
        <v>13090</v>
      </c>
      <c r="F299">
        <v>0</v>
      </c>
      <c r="G299">
        <v>50</v>
      </c>
      <c r="H299">
        <v>100</v>
      </c>
    </row>
    <row r="300" spans="1:8">
      <c r="A300">
        <v>414010</v>
      </c>
      <c r="B300" t="str">
        <f>INDEX(TextData!B:B,MATCH(A300,TextData!A:A))</f>
        <v>ディバインシールド+</v>
      </c>
      <c r="C300">
        <v>6020</v>
      </c>
      <c r="D300" t="str">
        <f>INDEX(Define!Q:Q,MATCH(C300,Define!P:P))</f>
        <v>指定のFeatureのParam2を増やす</v>
      </c>
      <c r="E300">
        <v>14010</v>
      </c>
      <c r="F300">
        <v>0</v>
      </c>
      <c r="G300">
        <v>2</v>
      </c>
      <c r="H300">
        <v>100</v>
      </c>
    </row>
    <row r="301" spans="1:8">
      <c r="A301">
        <v>414020</v>
      </c>
      <c r="B301" t="str">
        <f>INDEX(TextData!B:B,MATCH(A301,TextData!A:A))</f>
        <v>ライフディバイド+</v>
      </c>
      <c r="C301">
        <v>6010</v>
      </c>
      <c r="D301" t="str">
        <f>INDEX(Define!Q:Q,MATCH(C301,Define!P:P))</f>
        <v>指定のFeatureのParam1を増やす</v>
      </c>
      <c r="E301">
        <v>14020</v>
      </c>
      <c r="F301">
        <v>0</v>
      </c>
      <c r="G301">
        <v>50</v>
      </c>
      <c r="H301">
        <v>100</v>
      </c>
    </row>
    <row r="302" spans="1:8">
      <c r="A302">
        <v>414030</v>
      </c>
      <c r="B302" t="str">
        <f>INDEX(TextData!B:B,MATCH(A302,TextData!A:A))</f>
        <v>エイミングスコープ+</v>
      </c>
      <c r="C302">
        <v>6030</v>
      </c>
      <c r="D302" t="str">
        <f>INDEX(Define!Q:Q,MATCH(C302,Define!P:P))</f>
        <v>指定のFeatureのParam3を増やす</v>
      </c>
      <c r="E302">
        <v>14030</v>
      </c>
      <c r="F302">
        <v>0</v>
      </c>
      <c r="G302">
        <v>10</v>
      </c>
      <c r="H302">
        <v>100</v>
      </c>
    </row>
    <row r="303" spans="1:8">
      <c r="A303">
        <v>414040</v>
      </c>
      <c r="B303" t="str">
        <f>INDEX(TextData!B:B,MATCH(A303,TextData!A:A))</f>
        <v>リジェネレーション+</v>
      </c>
      <c r="C303">
        <v>6030</v>
      </c>
      <c r="D303" t="str">
        <f>INDEX(Define!Q:Q,MATCH(C303,Define!P:P))</f>
        <v>指定のFeatureのParam3を増やす</v>
      </c>
      <c r="E303">
        <v>14040</v>
      </c>
      <c r="F303">
        <v>0</v>
      </c>
      <c r="G303">
        <v>10</v>
      </c>
      <c r="H303">
        <v>100</v>
      </c>
    </row>
    <row r="304" spans="1:8">
      <c r="A304">
        <v>414050</v>
      </c>
      <c r="B304" t="str">
        <f>INDEX(TextData!B:B,MATCH(A304,TextData!A:A))</f>
        <v>ホープフルアイリス+</v>
      </c>
      <c r="C304">
        <v>6030</v>
      </c>
      <c r="D304" t="str">
        <f>INDEX(Define!Q:Q,MATCH(C304,Define!P:P))</f>
        <v>指定のFeatureのParam3を増やす</v>
      </c>
      <c r="E304">
        <v>14050</v>
      </c>
      <c r="F304">
        <v>0</v>
      </c>
      <c r="G304">
        <v>15</v>
      </c>
      <c r="H304">
        <v>100</v>
      </c>
    </row>
    <row r="305" spans="1:8">
      <c r="A305">
        <v>414060</v>
      </c>
      <c r="B305" t="str">
        <f>INDEX(TextData!B:B,MATCH(A305,TextData!A:A))</f>
        <v>パッシブサプライ+</v>
      </c>
      <c r="C305">
        <v>6010</v>
      </c>
      <c r="D305" t="str">
        <f>INDEX(Define!Q:Q,MATCH(C305,Define!P:P))</f>
        <v>指定のFeatureのParam1を増やす</v>
      </c>
      <c r="E305">
        <v>14060</v>
      </c>
      <c r="F305">
        <v>1</v>
      </c>
      <c r="G305">
        <v>2</v>
      </c>
      <c r="H305">
        <v>100</v>
      </c>
    </row>
    <row r="306" spans="1:8">
      <c r="A306">
        <v>414070</v>
      </c>
      <c r="B306" t="str">
        <f>INDEX(TextData!B:B,MATCH(A306,TextData!A:A))</f>
        <v>ホーミングクルセイド+</v>
      </c>
      <c r="C306">
        <v>6020</v>
      </c>
      <c r="D306" t="str">
        <f>INDEX(Define!Q:Q,MATCH(C306,Define!P:P))</f>
        <v>指定のFeatureのParam2を増やす</v>
      </c>
      <c r="E306">
        <v>14070</v>
      </c>
      <c r="F306">
        <v>0</v>
      </c>
      <c r="G306">
        <v>5</v>
      </c>
      <c r="H306">
        <v>100</v>
      </c>
    </row>
    <row r="307" spans="1:8">
      <c r="A307">
        <v>414080</v>
      </c>
      <c r="B307" t="str">
        <f>INDEX(TextData!B:B,MATCH(A307,TextData!A:A))</f>
        <v>クイックヒール+</v>
      </c>
      <c r="C307">
        <v>6010</v>
      </c>
      <c r="D307" t="str">
        <f>INDEX(Define!Q:Q,MATCH(C307,Define!P:P))</f>
        <v>指定のFeatureのParam1を増やす</v>
      </c>
      <c r="E307">
        <v>14080</v>
      </c>
      <c r="F307">
        <v>0</v>
      </c>
      <c r="G307">
        <v>15</v>
      </c>
      <c r="H307">
        <v>100</v>
      </c>
    </row>
    <row r="308" spans="1:8">
      <c r="A308">
        <v>414090</v>
      </c>
      <c r="B308" t="str">
        <f>INDEX(TextData!B:B,MATCH(A308,TextData!A:A))</f>
        <v>リレイズ+</v>
      </c>
      <c r="C308">
        <v>6080</v>
      </c>
      <c r="D308" t="str">
        <f>INDEX(Define!Q:Q,MATCH(C308,Define!P:P))</f>
        <v>指定魔法のCTリセット値を変更する</v>
      </c>
      <c r="E308">
        <v>14090</v>
      </c>
      <c r="F308">
        <v>0</v>
      </c>
      <c r="G308">
        <v>4</v>
      </c>
      <c r="H308">
        <v>100</v>
      </c>
    </row>
    <row r="309" spans="1:8">
      <c r="A309">
        <v>415010</v>
      </c>
      <c r="B309" t="str">
        <f>INDEX(TextData!B:B,MATCH(A309,TextData!A:A))</f>
        <v>イーグルアイ+</v>
      </c>
      <c r="C309">
        <v>6030</v>
      </c>
      <c r="D309" t="str">
        <f>INDEX(Define!Q:Q,MATCH(C309,Define!P:P))</f>
        <v>指定のFeatureのParam3を増やす</v>
      </c>
      <c r="E309">
        <v>15010</v>
      </c>
      <c r="F309">
        <v>0</v>
      </c>
      <c r="G309">
        <v>25</v>
      </c>
      <c r="H309">
        <v>100</v>
      </c>
    </row>
    <row r="310" spans="1:8">
      <c r="A310">
        <v>415020</v>
      </c>
      <c r="B310" t="str">
        <f>INDEX(TextData!B:B,MATCH(A310,TextData!A:A))</f>
        <v>ネヴァーエンド+</v>
      </c>
      <c r="C310">
        <v>6030</v>
      </c>
      <c r="D310" t="str">
        <f>INDEX(Define!Q:Q,MATCH(C310,Define!P:P))</f>
        <v>指定のFeatureのParam3を増やす</v>
      </c>
      <c r="E310">
        <v>15020</v>
      </c>
      <c r="F310">
        <v>0</v>
      </c>
      <c r="G310">
        <v>50</v>
      </c>
      <c r="H310">
        <v>100</v>
      </c>
    </row>
    <row r="311" spans="1:8">
      <c r="A311">
        <v>415030</v>
      </c>
      <c r="B311" t="str">
        <f>INDEX(TextData!B:B,MATCH(A311,TextData!A:A))</f>
        <v>グレイブアクト+</v>
      </c>
      <c r="C311">
        <v>6010</v>
      </c>
      <c r="D311" t="str">
        <f>INDEX(Define!Q:Q,MATCH(C311,Define!P:P))</f>
        <v>指定のFeatureのParam1を増やす</v>
      </c>
      <c r="E311">
        <v>15030</v>
      </c>
      <c r="F311">
        <v>0</v>
      </c>
      <c r="G311">
        <v>2</v>
      </c>
      <c r="H311">
        <v>100</v>
      </c>
    </row>
    <row r="312" spans="1:8">
      <c r="A312">
        <v>415040</v>
      </c>
      <c r="B312" t="str">
        <f>INDEX(TextData!B:B,MATCH(A312,TextData!A:A))</f>
        <v>スカルグラッジ+</v>
      </c>
      <c r="C312">
        <v>6030</v>
      </c>
      <c r="D312" t="str">
        <f>INDEX(Define!Q:Q,MATCH(C312,Define!P:P))</f>
        <v>指定のFeatureのParam3を増やす</v>
      </c>
      <c r="E312">
        <v>15040</v>
      </c>
      <c r="F312">
        <v>0</v>
      </c>
      <c r="G312">
        <v>10</v>
      </c>
      <c r="H312">
        <v>100</v>
      </c>
    </row>
    <row r="313" spans="1:8">
      <c r="A313">
        <v>415050</v>
      </c>
      <c r="B313" t="str">
        <f>INDEX(TextData!B:B,MATCH(A313,TextData!A:A))</f>
        <v>ネガティブドレイン+</v>
      </c>
      <c r="C313">
        <v>6030</v>
      </c>
      <c r="D313" t="str">
        <f>INDEX(Define!Q:Q,MATCH(C313,Define!P:P))</f>
        <v>指定のFeatureのParam3を増やす</v>
      </c>
      <c r="E313">
        <v>15050</v>
      </c>
      <c r="F313">
        <v>0</v>
      </c>
      <c r="G313">
        <v>25</v>
      </c>
      <c r="H313">
        <v>100</v>
      </c>
    </row>
    <row r="314" spans="1:8">
      <c r="A314">
        <v>415060</v>
      </c>
      <c r="B314" t="str">
        <f>INDEX(TextData!B:B,MATCH(A314,TextData!A:A))</f>
        <v>アンデッドペイン+</v>
      </c>
      <c r="C314">
        <v>6030</v>
      </c>
      <c r="D314" t="str">
        <f>INDEX(Define!Q:Q,MATCH(C314,Define!P:P))</f>
        <v>指定のFeatureのParam3を増やす</v>
      </c>
      <c r="E314">
        <v>15060</v>
      </c>
      <c r="F314">
        <v>0</v>
      </c>
      <c r="G314">
        <v>15</v>
      </c>
      <c r="H314">
        <v>100</v>
      </c>
    </row>
    <row r="315" spans="1:8">
      <c r="A315">
        <v>415070</v>
      </c>
      <c r="B315" t="str">
        <f>INDEX(TextData!B:B,MATCH(A315,TextData!A:A))</f>
        <v>ジャックポッド+</v>
      </c>
      <c r="C315">
        <v>6030</v>
      </c>
      <c r="D315" t="str">
        <f>INDEX(Define!Q:Q,MATCH(C315,Define!P:P))</f>
        <v>指定のFeatureのParam3を増やす</v>
      </c>
      <c r="E315">
        <v>15070</v>
      </c>
      <c r="F315">
        <v>0</v>
      </c>
      <c r="G315">
        <v>75</v>
      </c>
      <c r="H315">
        <v>100</v>
      </c>
    </row>
    <row r="316" spans="1:8">
      <c r="A316">
        <v>415080</v>
      </c>
      <c r="B316" t="str">
        <f>INDEX(TextData!B:B,MATCH(A316,TextData!A:A))</f>
        <v>ヒールハント+</v>
      </c>
      <c r="C316">
        <v>6030</v>
      </c>
      <c r="D316" t="str">
        <f>INDEX(Define!Q:Q,MATCH(C316,Define!P:P))</f>
        <v>指定のFeatureのParam3を増やす</v>
      </c>
      <c r="E316">
        <v>15080</v>
      </c>
      <c r="F316">
        <v>0</v>
      </c>
      <c r="G316">
        <v>50</v>
      </c>
      <c r="H316">
        <v>100</v>
      </c>
    </row>
    <row r="317" spans="1:8">
      <c r="A317">
        <v>415090</v>
      </c>
      <c r="B317" t="str">
        <f>INDEX(TextData!B:B,MATCH(A317,TextData!A:A))</f>
        <v>クイックカース+</v>
      </c>
      <c r="C317">
        <v>6030</v>
      </c>
      <c r="D317" t="str">
        <f>INDEX(Define!Q:Q,MATCH(C317,Define!P:P))</f>
        <v>指定のFeatureのParam3を増やす</v>
      </c>
      <c r="E317">
        <v>15090</v>
      </c>
      <c r="F317">
        <v>0</v>
      </c>
      <c r="G317">
        <v>35</v>
      </c>
      <c r="H3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52" workbookViewId="0">
      <selection activeCell="F63" sqref="F6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6"/>
  <sheetViews>
    <sheetView topLeftCell="A33" workbookViewId="0">
      <selection activeCell="C34" sqref="C3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customFormat="1" spans="1:3">
      <c r="A33">
        <v>3110</v>
      </c>
      <c r="B33" t="s">
        <v>82</v>
      </c>
      <c r="C33" s="3" t="s">
        <v>83</v>
      </c>
    </row>
    <row r="34" ht="26" spans="1:3">
      <c r="A34">
        <v>4010</v>
      </c>
      <c r="B34" t="s">
        <v>84</v>
      </c>
      <c r="C34" s="3" t="s">
        <v>85</v>
      </c>
    </row>
    <row r="35" ht="26" spans="1:3">
      <c r="A35">
        <v>4020</v>
      </c>
      <c r="B35" t="s">
        <v>86</v>
      </c>
      <c r="C35" s="3" t="s">
        <v>87</v>
      </c>
    </row>
    <row r="36" ht="26" spans="1:3">
      <c r="A36">
        <v>4030</v>
      </c>
      <c r="B36" t="s">
        <v>88</v>
      </c>
      <c r="C36" s="3" t="s">
        <v>89</v>
      </c>
    </row>
    <row r="37" ht="26" spans="1:3">
      <c r="A37">
        <v>4040</v>
      </c>
      <c r="B37" t="s">
        <v>90</v>
      </c>
      <c r="C37" s="3" t="s">
        <v>91</v>
      </c>
    </row>
    <row r="38" spans="1:4">
      <c r="A38">
        <v>4050</v>
      </c>
      <c r="B38" t="s">
        <v>92</v>
      </c>
      <c r="C38" s="3" t="s">
        <v>93</v>
      </c>
      <c r="D38" t="s">
        <v>94</v>
      </c>
    </row>
    <row r="39" spans="1:3">
      <c r="A39">
        <v>4060</v>
      </c>
      <c r="B39" t="s">
        <v>95</v>
      </c>
      <c r="C39" s="3" t="s">
        <v>96</v>
      </c>
    </row>
    <row r="40" ht="26" spans="1:3">
      <c r="A40">
        <v>4070</v>
      </c>
      <c r="B40" t="s">
        <v>97</v>
      </c>
      <c r="C40" s="3" t="s">
        <v>98</v>
      </c>
    </row>
    <row r="41" spans="1:3">
      <c r="A41">
        <v>4080</v>
      </c>
      <c r="B41" t="s">
        <v>99</v>
      </c>
      <c r="C41" s="3" t="s">
        <v>100</v>
      </c>
    </row>
    <row r="42" spans="1:3">
      <c r="A42">
        <v>5010</v>
      </c>
      <c r="B42" t="s">
        <v>101</v>
      </c>
      <c r="C42" s="3" t="s">
        <v>39</v>
      </c>
    </row>
    <row r="43" spans="1:3">
      <c r="A43">
        <v>5020</v>
      </c>
      <c r="B43" t="s">
        <v>102</v>
      </c>
      <c r="C43" s="3" t="s">
        <v>39</v>
      </c>
    </row>
    <row r="44" ht="26" spans="1:3">
      <c r="A44">
        <v>5030</v>
      </c>
      <c r="B44" t="s">
        <v>103</v>
      </c>
      <c r="C44" s="3" t="s">
        <v>104</v>
      </c>
    </row>
    <row r="45" ht="39" spans="1:3">
      <c r="A45">
        <v>5040</v>
      </c>
      <c r="B45" t="s">
        <v>105</v>
      </c>
      <c r="C45" s="3" t="s">
        <v>106</v>
      </c>
    </row>
    <row r="46" ht="26" spans="1:4">
      <c r="A46">
        <v>5050</v>
      </c>
      <c r="B46" t="s">
        <v>107</v>
      </c>
      <c r="C46" s="3" t="s">
        <v>108</v>
      </c>
      <c r="D46" t="s">
        <v>109</v>
      </c>
    </row>
    <row r="47" spans="1:3">
      <c r="A47">
        <v>5060</v>
      </c>
      <c r="B47" t="s">
        <v>110</v>
      </c>
      <c r="C47" s="3" t="s">
        <v>111</v>
      </c>
    </row>
    <row r="48" spans="1:3">
      <c r="A48">
        <v>5070</v>
      </c>
      <c r="B48" t="s">
        <v>112</v>
      </c>
      <c r="C48" s="3" t="s">
        <v>113</v>
      </c>
    </row>
    <row r="49" customFormat="1" ht="39" spans="1:3">
      <c r="A49">
        <v>5080</v>
      </c>
      <c r="B49" t="s">
        <v>114</v>
      </c>
      <c r="C49" s="3" t="s">
        <v>115</v>
      </c>
    </row>
    <row r="50" ht="39" spans="1:3">
      <c r="A50">
        <v>10010</v>
      </c>
      <c r="B50" t="s">
        <v>116</v>
      </c>
      <c r="C50" s="3" t="s">
        <v>117</v>
      </c>
    </row>
    <row r="51" ht="39" spans="1:3">
      <c r="A51">
        <v>10020</v>
      </c>
      <c r="B51" t="s">
        <v>118</v>
      </c>
      <c r="C51" s="4" t="s">
        <v>119</v>
      </c>
    </row>
    <row r="52" customFormat="1" ht="26" spans="1:3">
      <c r="A52">
        <v>10030</v>
      </c>
      <c r="B52" t="s">
        <v>120</v>
      </c>
      <c r="C52" s="4" t="s">
        <v>121</v>
      </c>
    </row>
    <row r="53" customFormat="1" ht="26" spans="1:3">
      <c r="A53">
        <v>10040</v>
      </c>
      <c r="B53" t="s">
        <v>122</v>
      </c>
      <c r="C53" s="4" t="s">
        <v>123</v>
      </c>
    </row>
    <row r="54" customFormat="1" ht="26" spans="1:3">
      <c r="A54">
        <v>10050</v>
      </c>
      <c r="B54" t="s">
        <v>124</v>
      </c>
      <c r="C54" s="4" t="s">
        <v>125</v>
      </c>
    </row>
    <row r="55" customFormat="1" ht="26" spans="1:3">
      <c r="A55">
        <v>10060</v>
      </c>
      <c r="B55" t="s">
        <v>126</v>
      </c>
      <c r="C55" s="4" t="s">
        <v>127</v>
      </c>
    </row>
    <row r="56" spans="1:3">
      <c r="A56">
        <v>11010</v>
      </c>
      <c r="B56" t="s">
        <v>128</v>
      </c>
      <c r="C56" s="4" t="s">
        <v>129</v>
      </c>
    </row>
    <row r="57" ht="26" spans="1:3">
      <c r="A57">
        <v>11020</v>
      </c>
      <c r="B57" t="s">
        <v>130</v>
      </c>
      <c r="C57" s="4" t="s">
        <v>131</v>
      </c>
    </row>
    <row r="58" ht="26" spans="1:3">
      <c r="A58">
        <v>11030</v>
      </c>
      <c r="B58" t="s">
        <v>132</v>
      </c>
      <c r="C58" s="4" t="s">
        <v>133</v>
      </c>
    </row>
    <row r="59" customFormat="1" ht="26" spans="1:4">
      <c r="A59">
        <v>11040</v>
      </c>
      <c r="B59" t="s">
        <v>134</v>
      </c>
      <c r="C59" s="3" t="s">
        <v>135</v>
      </c>
      <c r="D59" t="s">
        <v>134</v>
      </c>
    </row>
    <row r="60" ht="39" spans="1:3">
      <c r="A60">
        <v>11050</v>
      </c>
      <c r="B60" t="s">
        <v>136</v>
      </c>
      <c r="C60" s="3" t="s">
        <v>137</v>
      </c>
    </row>
    <row r="61" customFormat="1" ht="26" spans="1:3">
      <c r="A61">
        <v>11060</v>
      </c>
      <c r="B61" t="s">
        <v>138</v>
      </c>
      <c r="C61" s="3" t="s">
        <v>139</v>
      </c>
    </row>
    <row r="62" customFormat="1" ht="39" spans="1:3">
      <c r="A62">
        <v>11070</v>
      </c>
      <c r="B62" t="s">
        <v>140</v>
      </c>
      <c r="C62" s="3" t="s">
        <v>141</v>
      </c>
    </row>
    <row r="63" customFormat="1" ht="26" spans="1:3">
      <c r="A63">
        <v>11080</v>
      </c>
      <c r="B63" t="s">
        <v>142</v>
      </c>
      <c r="C63" s="3" t="s">
        <v>143</v>
      </c>
    </row>
    <row r="64" customFormat="1" ht="39" spans="1:3">
      <c r="A64">
        <v>11090</v>
      </c>
      <c r="B64" t="s">
        <v>144</v>
      </c>
      <c r="C64" s="3" t="s">
        <v>145</v>
      </c>
    </row>
    <row r="65" ht="26" spans="1:3">
      <c r="A65">
        <v>12010</v>
      </c>
      <c r="B65" t="s">
        <v>146</v>
      </c>
      <c r="C65" s="3" t="s">
        <v>147</v>
      </c>
    </row>
    <row r="66" spans="1:3">
      <c r="A66">
        <v>12020</v>
      </c>
      <c r="B66" t="s">
        <v>148</v>
      </c>
      <c r="C66" s="3" t="s">
        <v>149</v>
      </c>
    </row>
    <row r="67" spans="1:3">
      <c r="A67">
        <v>12030</v>
      </c>
      <c r="B67" t="s">
        <v>150</v>
      </c>
      <c r="C67" s="3" t="s">
        <v>151</v>
      </c>
    </row>
    <row r="68" ht="39" spans="1:3">
      <c r="A68">
        <v>12040</v>
      </c>
      <c r="B68" t="s">
        <v>152</v>
      </c>
      <c r="C68" s="3" t="s">
        <v>153</v>
      </c>
    </row>
    <row r="69" ht="26" spans="1:3">
      <c r="A69">
        <v>12050</v>
      </c>
      <c r="B69" t="s">
        <v>154</v>
      </c>
      <c r="C69" s="3" t="s">
        <v>155</v>
      </c>
    </row>
    <row r="70" customFormat="1" ht="26" spans="1:3">
      <c r="A70">
        <v>12060</v>
      </c>
      <c r="B70" t="s">
        <v>156</v>
      </c>
      <c r="C70" s="3" t="s">
        <v>157</v>
      </c>
    </row>
    <row r="71" customFormat="1" ht="39" spans="1:3">
      <c r="A71">
        <v>12070</v>
      </c>
      <c r="B71" t="s">
        <v>158</v>
      </c>
      <c r="C71" s="3" t="s">
        <v>159</v>
      </c>
    </row>
    <row r="72" customFormat="1" ht="26" spans="1:3">
      <c r="A72">
        <v>12080</v>
      </c>
      <c r="B72" t="s">
        <v>160</v>
      </c>
      <c r="C72" s="3" t="s">
        <v>161</v>
      </c>
    </row>
    <row r="73" customFormat="1" ht="26" spans="1:3">
      <c r="A73">
        <v>12090</v>
      </c>
      <c r="B73" t="s">
        <v>162</v>
      </c>
      <c r="C73" s="3" t="s">
        <v>163</v>
      </c>
    </row>
    <row r="74" spans="1:3">
      <c r="A74">
        <v>13010</v>
      </c>
      <c r="B74" t="s">
        <v>164</v>
      </c>
      <c r="C74" s="3" t="s">
        <v>165</v>
      </c>
    </row>
    <row r="75" customFormat="1" ht="26" spans="1:3">
      <c r="A75">
        <v>13020</v>
      </c>
      <c r="B75" t="s">
        <v>166</v>
      </c>
      <c r="C75" s="3" t="s">
        <v>167</v>
      </c>
    </row>
    <row r="76" customFormat="1" ht="26" spans="1:3">
      <c r="A76">
        <v>13030</v>
      </c>
      <c r="B76" t="s">
        <v>168</v>
      </c>
      <c r="C76" s="3" t="s">
        <v>169</v>
      </c>
    </row>
    <row r="77" ht="26" spans="1:3">
      <c r="A77">
        <v>13040</v>
      </c>
      <c r="B77" t="s">
        <v>170</v>
      </c>
      <c r="C77" s="3" t="s">
        <v>171</v>
      </c>
    </row>
    <row r="78" ht="39" spans="1:3">
      <c r="A78">
        <v>13050</v>
      </c>
      <c r="B78" t="s">
        <v>172</v>
      </c>
      <c r="C78" s="3" t="s">
        <v>173</v>
      </c>
    </row>
    <row r="79" customFormat="1" ht="26" spans="1:3">
      <c r="A79">
        <v>13060</v>
      </c>
      <c r="B79" t="s">
        <v>174</v>
      </c>
      <c r="C79" s="3" t="s">
        <v>175</v>
      </c>
    </row>
    <row r="80" ht="26" spans="1:3">
      <c r="A80">
        <v>13070</v>
      </c>
      <c r="B80" t="s">
        <v>176</v>
      </c>
      <c r="C80" s="3" t="s">
        <v>177</v>
      </c>
    </row>
    <row r="81" customFormat="1" ht="26" spans="1:3">
      <c r="A81">
        <v>13080</v>
      </c>
      <c r="B81" t="s">
        <v>178</v>
      </c>
      <c r="C81" s="3" t="s">
        <v>179</v>
      </c>
    </row>
    <row r="82" customFormat="1" ht="39" spans="1:3">
      <c r="A82">
        <v>13090</v>
      </c>
      <c r="B82" t="s">
        <v>180</v>
      </c>
      <c r="C82" s="3" t="s">
        <v>181</v>
      </c>
    </row>
    <row r="83" ht="39" spans="1:3">
      <c r="A83">
        <v>14010</v>
      </c>
      <c r="B83" t="s">
        <v>182</v>
      </c>
      <c r="C83" s="3" t="s">
        <v>183</v>
      </c>
    </row>
    <row r="84" ht="39" spans="1:3">
      <c r="A84">
        <v>14020</v>
      </c>
      <c r="B84" t="s">
        <v>184</v>
      </c>
      <c r="C84" s="3" t="s">
        <v>185</v>
      </c>
    </row>
    <row r="85" ht="26" spans="1:3">
      <c r="A85">
        <v>14030</v>
      </c>
      <c r="B85" t="s">
        <v>186</v>
      </c>
      <c r="C85" s="3" t="s">
        <v>187</v>
      </c>
    </row>
    <row r="86" spans="1:3">
      <c r="A86">
        <v>14040</v>
      </c>
      <c r="B86" t="s">
        <v>188</v>
      </c>
      <c r="C86" t="s">
        <v>189</v>
      </c>
    </row>
    <row r="87" customFormat="1" spans="1:3">
      <c r="A87">
        <v>14050</v>
      </c>
      <c r="B87" t="s">
        <v>190</v>
      </c>
      <c r="C87" s="3" t="s">
        <v>191</v>
      </c>
    </row>
    <row r="88" ht="39" spans="1:3">
      <c r="A88">
        <v>14060</v>
      </c>
      <c r="B88" t="s">
        <v>192</v>
      </c>
      <c r="C88" s="3" t="s">
        <v>193</v>
      </c>
    </row>
    <row r="89" ht="39" spans="1:3">
      <c r="A89">
        <v>14070</v>
      </c>
      <c r="B89" t="s">
        <v>194</v>
      </c>
      <c r="C89" s="3" t="s">
        <v>195</v>
      </c>
    </row>
    <row r="90" customFormat="1" ht="26" spans="1:3">
      <c r="A90">
        <v>14080</v>
      </c>
      <c r="B90" t="s">
        <v>196</v>
      </c>
      <c r="C90" s="3" t="s">
        <v>197</v>
      </c>
    </row>
    <row r="91" customFormat="1" ht="52" spans="1:4">
      <c r="A91">
        <v>14090</v>
      </c>
      <c r="B91" t="s">
        <v>198</v>
      </c>
      <c r="C91" s="3" t="s">
        <v>199</v>
      </c>
      <c r="D91" t="s">
        <v>200</v>
      </c>
    </row>
    <row r="92" spans="1:3">
      <c r="A92">
        <v>15010</v>
      </c>
      <c r="B92" t="s">
        <v>201</v>
      </c>
      <c r="C92" s="3" t="s">
        <v>202</v>
      </c>
    </row>
    <row r="93" ht="26" spans="1:3">
      <c r="A93">
        <v>15020</v>
      </c>
      <c r="B93" t="s">
        <v>203</v>
      </c>
      <c r="C93" s="3" t="s">
        <v>204</v>
      </c>
    </row>
    <row r="94" customFormat="1" ht="26" spans="1:3">
      <c r="A94">
        <v>15030</v>
      </c>
      <c r="B94" t="s">
        <v>205</v>
      </c>
      <c r="C94" s="3" t="s">
        <v>206</v>
      </c>
    </row>
    <row r="95" ht="39" spans="1:3">
      <c r="A95">
        <v>15040</v>
      </c>
      <c r="B95" t="s">
        <v>207</v>
      </c>
      <c r="C95" s="3" t="s">
        <v>208</v>
      </c>
    </row>
    <row r="96" customFormat="1" ht="26" spans="1:3">
      <c r="A96">
        <v>15050</v>
      </c>
      <c r="B96" t="s">
        <v>209</v>
      </c>
      <c r="C96" s="3" t="s">
        <v>210</v>
      </c>
    </row>
    <row r="97" ht="26" spans="1:3">
      <c r="A97">
        <v>15060</v>
      </c>
      <c r="B97" t="s">
        <v>211</v>
      </c>
      <c r="C97" s="3" t="s">
        <v>212</v>
      </c>
    </row>
    <row r="98" customFormat="1" ht="26" spans="1:4">
      <c r="A98">
        <v>15070</v>
      </c>
      <c r="B98" t="s">
        <v>213</v>
      </c>
      <c r="C98" s="3" t="s">
        <v>214</v>
      </c>
      <c r="D98" t="s">
        <v>215</v>
      </c>
    </row>
    <row r="99" customFormat="1" ht="26" spans="1:3">
      <c r="A99">
        <v>15080</v>
      </c>
      <c r="B99" t="s">
        <v>216</v>
      </c>
      <c r="C99" s="3" t="s">
        <v>217</v>
      </c>
    </row>
    <row r="100" customFormat="1" ht="26" spans="1:3">
      <c r="A100">
        <v>15090</v>
      </c>
      <c r="B100" t="s">
        <v>218</v>
      </c>
      <c r="C100" s="3" t="s">
        <v>219</v>
      </c>
    </row>
    <row r="101" spans="1:3">
      <c r="A101">
        <v>20010</v>
      </c>
      <c r="B101" t="s">
        <v>220</v>
      </c>
      <c r="C101" s="4" t="s">
        <v>221</v>
      </c>
    </row>
    <row r="102" ht="52" spans="1:3">
      <c r="A102">
        <v>100110</v>
      </c>
      <c r="B102" t="s">
        <v>222</v>
      </c>
      <c r="C102" s="3" t="s">
        <v>223</v>
      </c>
    </row>
    <row r="103" ht="26" spans="1:3">
      <c r="A103">
        <v>100120</v>
      </c>
      <c r="B103" t="s">
        <v>224</v>
      </c>
      <c r="C103" s="3" t="s">
        <v>225</v>
      </c>
    </row>
    <row r="104" ht="39" spans="1:3">
      <c r="A104">
        <v>100210</v>
      </c>
      <c r="B104" t="s">
        <v>226</v>
      </c>
      <c r="C104" s="3" t="s">
        <v>227</v>
      </c>
    </row>
    <row r="105" ht="28" customHeight="1" spans="1:3">
      <c r="A105">
        <v>100220</v>
      </c>
      <c r="B105" t="s">
        <v>228</v>
      </c>
      <c r="C105" s="3" t="s">
        <v>229</v>
      </c>
    </row>
    <row r="106" ht="52" spans="1:3">
      <c r="A106">
        <v>100310</v>
      </c>
      <c r="B106" t="s">
        <v>230</v>
      </c>
      <c r="C106" s="3" t="s">
        <v>231</v>
      </c>
    </row>
    <row r="107" ht="26" spans="1:3">
      <c r="A107">
        <v>100320</v>
      </c>
      <c r="B107" t="s">
        <v>232</v>
      </c>
      <c r="C107" s="3" t="s">
        <v>233</v>
      </c>
    </row>
    <row r="108" ht="39" spans="1:3">
      <c r="A108">
        <v>100410</v>
      </c>
      <c r="B108" t="s">
        <v>234</v>
      </c>
      <c r="C108" s="3" t="s">
        <v>235</v>
      </c>
    </row>
    <row r="109" ht="52" spans="1:3">
      <c r="A109">
        <v>100420</v>
      </c>
      <c r="B109" t="s">
        <v>236</v>
      </c>
      <c r="C109" s="3" t="s">
        <v>237</v>
      </c>
    </row>
    <row r="110" ht="52" spans="1:3">
      <c r="A110">
        <v>100510</v>
      </c>
      <c r="B110" t="s">
        <v>238</v>
      </c>
      <c r="C110" s="3" t="s">
        <v>239</v>
      </c>
    </row>
    <row r="111" ht="52" spans="1:3">
      <c r="A111">
        <v>100520</v>
      </c>
      <c r="B111" t="s">
        <v>240</v>
      </c>
      <c r="C111" s="3" t="s">
        <v>241</v>
      </c>
    </row>
    <row r="112" ht="39" spans="1:3">
      <c r="A112">
        <v>100610</v>
      </c>
      <c r="B112" t="s">
        <v>242</v>
      </c>
      <c r="C112" s="3" t="s">
        <v>243</v>
      </c>
    </row>
    <row r="113" ht="39" spans="1:3">
      <c r="A113">
        <v>100620</v>
      </c>
      <c r="B113" t="s">
        <v>244</v>
      </c>
      <c r="C113" s="3" t="s">
        <v>245</v>
      </c>
    </row>
    <row r="114" customFormat="1" ht="52" spans="1:3">
      <c r="A114">
        <v>100710</v>
      </c>
      <c r="B114" t="s">
        <v>246</v>
      </c>
      <c r="C114" s="3" t="s">
        <v>247</v>
      </c>
    </row>
    <row r="115" ht="26" spans="1:3">
      <c r="A115">
        <v>100720</v>
      </c>
      <c r="B115" t="s">
        <v>248</v>
      </c>
      <c r="C115" s="3" t="s">
        <v>249</v>
      </c>
    </row>
    <row r="116" customFormat="1" ht="39" spans="1:3">
      <c r="A116">
        <v>100810</v>
      </c>
      <c r="B116" t="s">
        <v>250</v>
      </c>
      <c r="C116" s="3" t="s">
        <v>251</v>
      </c>
    </row>
    <row r="117" customFormat="1" ht="26" spans="1:3">
      <c r="A117">
        <v>100820</v>
      </c>
      <c r="B117" t="s">
        <v>252</v>
      </c>
      <c r="C117" s="3" t="s">
        <v>225</v>
      </c>
    </row>
    <row r="118" customFormat="1" ht="39" spans="1:3">
      <c r="A118">
        <v>100910</v>
      </c>
      <c r="B118" t="s">
        <v>253</v>
      </c>
      <c r="C118" s="3" t="s">
        <v>254</v>
      </c>
    </row>
    <row r="119" customFormat="1" ht="39" spans="1:3">
      <c r="A119">
        <v>100911</v>
      </c>
      <c r="B119" t="s">
        <v>253</v>
      </c>
      <c r="C119" s="3" t="s">
        <v>254</v>
      </c>
    </row>
    <row r="120" customFormat="1" ht="39" spans="1:3">
      <c r="A120">
        <v>100920</v>
      </c>
      <c r="B120" t="s">
        <v>255</v>
      </c>
      <c r="C120" s="3" t="s">
        <v>256</v>
      </c>
    </row>
    <row r="121" customFormat="1" ht="39" spans="1:3">
      <c r="A121">
        <v>100921</v>
      </c>
      <c r="B121" t="s">
        <v>255</v>
      </c>
      <c r="C121" s="3" t="s">
        <v>256</v>
      </c>
    </row>
    <row r="122" customFormat="1" ht="39" spans="1:4">
      <c r="A122">
        <v>101010</v>
      </c>
      <c r="B122" t="s">
        <v>257</v>
      </c>
      <c r="C122" s="3" t="s">
        <v>258</v>
      </c>
      <c r="D122" s="3"/>
    </row>
    <row r="123" customFormat="1" ht="26" spans="1:3">
      <c r="A123">
        <v>101020</v>
      </c>
      <c r="B123" t="s">
        <v>259</v>
      </c>
      <c r="C123" s="3" t="s">
        <v>225</v>
      </c>
    </row>
    <row r="124" customFormat="1" ht="39" spans="1:3">
      <c r="A124">
        <v>101110</v>
      </c>
      <c r="B124" t="s">
        <v>260</v>
      </c>
      <c r="C124" s="3" t="s">
        <v>261</v>
      </c>
    </row>
    <row r="125" customFormat="1" ht="39" spans="1:3">
      <c r="A125">
        <v>101120</v>
      </c>
      <c r="B125" t="s">
        <v>262</v>
      </c>
      <c r="C125" s="3" t="s">
        <v>263</v>
      </c>
    </row>
    <row r="126" ht="26" spans="1:3">
      <c r="A126">
        <v>200210</v>
      </c>
      <c r="B126" t="s">
        <v>264</v>
      </c>
      <c r="C126" s="3" t="s">
        <v>265</v>
      </c>
    </row>
    <row r="127" ht="26" spans="1:3">
      <c r="A127">
        <v>200220</v>
      </c>
      <c r="B127" t="s">
        <v>266</v>
      </c>
      <c r="C127" s="3" t="s">
        <v>225</v>
      </c>
    </row>
    <row r="128" ht="26" spans="1:3">
      <c r="A128">
        <v>200230</v>
      </c>
      <c r="B128" t="s">
        <v>267</v>
      </c>
      <c r="C128" s="4" t="s">
        <v>268</v>
      </c>
    </row>
    <row r="129" ht="52" spans="1:3">
      <c r="A129">
        <v>200310</v>
      </c>
      <c r="B129" t="s">
        <v>269</v>
      </c>
      <c r="C129" s="3" t="s">
        <v>270</v>
      </c>
    </row>
    <row r="130" ht="52" spans="1:3">
      <c r="A130">
        <v>200320</v>
      </c>
      <c r="B130" t="s">
        <v>271</v>
      </c>
      <c r="C130" s="3" t="s">
        <v>272</v>
      </c>
    </row>
    <row r="131" ht="26" spans="1:3">
      <c r="A131">
        <v>200330</v>
      </c>
      <c r="B131" t="s">
        <v>273</v>
      </c>
      <c r="C131" s="4" t="s">
        <v>274</v>
      </c>
    </row>
    <row r="132" customFormat="1" ht="52" spans="1:3">
      <c r="A132">
        <v>200410</v>
      </c>
      <c r="B132" t="s">
        <v>275</v>
      </c>
      <c r="C132" s="3" t="s">
        <v>276</v>
      </c>
    </row>
    <row r="133" customFormat="1" ht="52" spans="1:3">
      <c r="A133">
        <v>200411</v>
      </c>
      <c r="B133" t="s">
        <v>275</v>
      </c>
      <c r="C133" s="3" t="s">
        <v>277</v>
      </c>
    </row>
    <row r="134" customFormat="1" ht="39" spans="1:3">
      <c r="A134">
        <v>200420</v>
      </c>
      <c r="B134" t="s">
        <v>278</v>
      </c>
      <c r="C134" s="3" t="s">
        <v>279</v>
      </c>
    </row>
    <row r="135" customFormat="1" spans="1:3">
      <c r="A135">
        <v>200430</v>
      </c>
      <c r="B135" t="s">
        <v>280</v>
      </c>
      <c r="C135" s="3" t="s">
        <v>281</v>
      </c>
    </row>
    <row r="136" customFormat="1" ht="52" spans="1:3">
      <c r="A136">
        <v>200510</v>
      </c>
      <c r="B136" t="s">
        <v>282</v>
      </c>
      <c r="C136" s="3" t="s">
        <v>283</v>
      </c>
    </row>
    <row r="137" customFormat="1" ht="39" spans="1:3">
      <c r="A137">
        <v>200520</v>
      </c>
      <c r="B137" t="s">
        <v>284</v>
      </c>
      <c r="C137" s="3" t="s">
        <v>285</v>
      </c>
    </row>
    <row r="138" customFormat="1" ht="39" spans="1:3">
      <c r="A138">
        <v>200530</v>
      </c>
      <c r="B138" t="s">
        <v>286</v>
      </c>
      <c r="C138" s="4" t="s">
        <v>287</v>
      </c>
    </row>
    <row r="139" customFormat="1" ht="52" spans="1:3">
      <c r="A139">
        <v>201010</v>
      </c>
      <c r="B139" t="s">
        <v>288</v>
      </c>
      <c r="C139" s="3" t="s">
        <v>289</v>
      </c>
    </row>
    <row r="140" customFormat="1" ht="39" spans="1:3">
      <c r="A140">
        <v>201020</v>
      </c>
      <c r="B140" t="s">
        <v>290</v>
      </c>
      <c r="C140" s="3" t="s">
        <v>291</v>
      </c>
    </row>
    <row r="141" customFormat="1" ht="39" spans="1:3">
      <c r="A141">
        <v>201030</v>
      </c>
      <c r="B141" t="s">
        <v>292</v>
      </c>
      <c r="C141" s="4" t="s">
        <v>293</v>
      </c>
    </row>
    <row r="142" customFormat="1" ht="26" spans="1:3">
      <c r="A142">
        <v>300010</v>
      </c>
      <c r="B142" t="s">
        <v>294</v>
      </c>
      <c r="C142" s="3" t="s">
        <v>295</v>
      </c>
    </row>
    <row r="143" customFormat="1" ht="26" spans="1:3">
      <c r="A143">
        <v>300020</v>
      </c>
      <c r="B143" t="s">
        <v>296</v>
      </c>
      <c r="C143" s="3" t="s">
        <v>297</v>
      </c>
    </row>
    <row r="144" ht="26" spans="1:3">
      <c r="A144">
        <v>300030</v>
      </c>
      <c r="B144" t="s">
        <v>298</v>
      </c>
      <c r="C144" s="3" t="s">
        <v>299</v>
      </c>
    </row>
    <row r="145" customFormat="1" ht="26" spans="1:3">
      <c r="A145">
        <v>300040</v>
      </c>
      <c r="B145" t="s">
        <v>300</v>
      </c>
      <c r="C145" s="3" t="s">
        <v>301</v>
      </c>
    </row>
    <row r="146" customFormat="1" ht="26" spans="1:3">
      <c r="A146">
        <v>300050</v>
      </c>
      <c r="B146" t="s">
        <v>302</v>
      </c>
      <c r="C146" s="3" t="s">
        <v>303</v>
      </c>
    </row>
    <row r="147" customFormat="1" ht="26" spans="1:3">
      <c r="A147">
        <v>300130</v>
      </c>
      <c r="B147" t="s">
        <v>304</v>
      </c>
      <c r="C147" s="3" t="s">
        <v>305</v>
      </c>
    </row>
    <row r="148" customFormat="1" ht="26" spans="1:3">
      <c r="A148">
        <v>300140</v>
      </c>
      <c r="B148" t="s">
        <v>306</v>
      </c>
      <c r="C148" s="3" t="s">
        <v>307</v>
      </c>
    </row>
    <row r="149" customFormat="1" ht="26" spans="1:3">
      <c r="A149">
        <v>300210</v>
      </c>
      <c r="B149" t="s">
        <v>308</v>
      </c>
      <c r="C149" s="3" t="s">
        <v>309</v>
      </c>
    </row>
    <row r="150" customFormat="1" ht="26" spans="1:3">
      <c r="A150">
        <v>300220</v>
      </c>
      <c r="B150" t="s">
        <v>310</v>
      </c>
      <c r="C150" s="3" t="s">
        <v>311</v>
      </c>
    </row>
    <row r="151" customFormat="1" ht="39" spans="1:3">
      <c r="A151">
        <v>300230</v>
      </c>
      <c r="B151" t="s">
        <v>312</v>
      </c>
      <c r="C151" s="3" t="s">
        <v>313</v>
      </c>
    </row>
    <row r="152" customFormat="1" ht="26" spans="1:3">
      <c r="A152">
        <v>301010</v>
      </c>
      <c r="B152" t="s">
        <v>314</v>
      </c>
      <c r="C152" s="3" t="s">
        <v>315</v>
      </c>
    </row>
    <row r="153" customFormat="1" ht="26" spans="1:3">
      <c r="A153">
        <v>301020</v>
      </c>
      <c r="B153" t="s">
        <v>316</v>
      </c>
      <c r="C153" s="3" t="s">
        <v>317</v>
      </c>
    </row>
    <row r="154" customFormat="1" ht="26" spans="1:3">
      <c r="A154">
        <v>301030</v>
      </c>
      <c r="B154" t="s">
        <v>318</v>
      </c>
      <c r="C154" s="3" t="s">
        <v>319</v>
      </c>
    </row>
    <row r="155" customFormat="1" ht="52" spans="1:3">
      <c r="A155">
        <v>301040</v>
      </c>
      <c r="B155" t="s">
        <v>320</v>
      </c>
      <c r="C155" s="3" t="s">
        <v>321</v>
      </c>
    </row>
    <row r="156" customFormat="1" ht="26" spans="1:3">
      <c r="A156">
        <v>301050</v>
      </c>
      <c r="B156" t="s">
        <v>322</v>
      </c>
      <c r="C156" s="3" t="s">
        <v>323</v>
      </c>
    </row>
    <row r="157" customFormat="1" ht="39" spans="1:3">
      <c r="A157">
        <v>301060</v>
      </c>
      <c r="B157" t="s">
        <v>324</v>
      </c>
      <c r="C157" s="3" t="s">
        <v>325</v>
      </c>
    </row>
    <row r="158" customFormat="1" ht="26" spans="1:3">
      <c r="A158">
        <v>301070</v>
      </c>
      <c r="B158" t="s">
        <v>326</v>
      </c>
      <c r="C158" s="3" t="s">
        <v>295</v>
      </c>
    </row>
    <row r="159" customFormat="1" ht="39" spans="1:3">
      <c r="A159">
        <v>301080</v>
      </c>
      <c r="B159" t="s">
        <v>327</v>
      </c>
      <c r="C159" s="3" t="s">
        <v>328</v>
      </c>
    </row>
    <row r="160" customFormat="1" ht="39" spans="1:3">
      <c r="A160">
        <v>301090</v>
      </c>
      <c r="B160" t="s">
        <v>329</v>
      </c>
      <c r="C160" s="3" t="s">
        <v>330</v>
      </c>
    </row>
    <row r="161" customFormat="1" ht="26" spans="1:3">
      <c r="A161">
        <v>301100</v>
      </c>
      <c r="B161" t="s">
        <v>331</v>
      </c>
      <c r="C161" s="3" t="s">
        <v>155</v>
      </c>
    </row>
    <row r="162" customFormat="1" spans="1:3">
      <c r="A162">
        <v>401010</v>
      </c>
      <c r="B162" t="s">
        <v>332</v>
      </c>
      <c r="C162" s="3" t="s">
        <v>333</v>
      </c>
    </row>
    <row r="163" customFormat="1" spans="1:3">
      <c r="A163">
        <v>401020</v>
      </c>
      <c r="B163" t="s">
        <v>334</v>
      </c>
      <c r="C163" s="3" t="s">
        <v>333</v>
      </c>
    </row>
    <row r="164" customFormat="1" spans="1:3">
      <c r="A164">
        <v>401030</v>
      </c>
      <c r="B164" t="s">
        <v>335</v>
      </c>
      <c r="C164" s="3" t="s">
        <v>336</v>
      </c>
    </row>
    <row r="165" customFormat="1" spans="1:3">
      <c r="A165">
        <v>401040</v>
      </c>
      <c r="B165" t="s">
        <v>337</v>
      </c>
      <c r="C165" t="s">
        <v>338</v>
      </c>
    </row>
    <row r="166" customFormat="1" spans="1:3">
      <c r="A166">
        <v>401050</v>
      </c>
      <c r="B166" t="s">
        <v>339</v>
      </c>
      <c r="C166" s="3" t="s">
        <v>333</v>
      </c>
    </row>
    <row r="167" customFormat="1" spans="1:3">
      <c r="A167">
        <v>401060</v>
      </c>
      <c r="B167" t="s">
        <v>340</v>
      </c>
      <c r="C167" s="3" t="s">
        <v>333</v>
      </c>
    </row>
    <row r="168" customFormat="1" spans="1:3">
      <c r="A168">
        <v>401070</v>
      </c>
      <c r="B168" t="s">
        <v>341</v>
      </c>
      <c r="C168" s="3" t="s">
        <v>342</v>
      </c>
    </row>
    <row r="169" customFormat="1" spans="1:3">
      <c r="A169">
        <v>401080</v>
      </c>
      <c r="B169" t="s">
        <v>343</v>
      </c>
      <c r="C169" s="3" t="s">
        <v>344</v>
      </c>
    </row>
    <row r="170" customFormat="1" spans="1:3">
      <c r="A170">
        <v>402010</v>
      </c>
      <c r="B170" t="s">
        <v>345</v>
      </c>
      <c r="C170" s="3" t="s">
        <v>333</v>
      </c>
    </row>
    <row r="171" customFormat="1" spans="1:3">
      <c r="A171">
        <v>402020</v>
      </c>
      <c r="B171" t="s">
        <v>346</v>
      </c>
      <c r="C171" t="s">
        <v>347</v>
      </c>
    </row>
    <row r="172" customFormat="1" spans="1:3">
      <c r="A172">
        <v>402030</v>
      </c>
      <c r="B172" t="s">
        <v>348</v>
      </c>
      <c r="C172" s="3" t="s">
        <v>342</v>
      </c>
    </row>
    <row r="173" customFormat="1" spans="1:3">
      <c r="A173">
        <v>402040</v>
      </c>
      <c r="B173" t="s">
        <v>349</v>
      </c>
      <c r="C173" s="4" t="s">
        <v>350</v>
      </c>
    </row>
    <row r="174" customFormat="1" spans="1:3">
      <c r="A174">
        <v>402050</v>
      </c>
      <c r="B174" t="s">
        <v>351</v>
      </c>
      <c r="C174" s="3" t="s">
        <v>342</v>
      </c>
    </row>
    <row r="175" customFormat="1" spans="1:3">
      <c r="A175">
        <v>402060</v>
      </c>
      <c r="B175" t="s">
        <v>352</v>
      </c>
      <c r="C175" s="3" t="s">
        <v>333</v>
      </c>
    </row>
    <row r="176" customFormat="1" spans="1:3">
      <c r="A176">
        <v>402070</v>
      </c>
      <c r="B176" t="s">
        <v>353</v>
      </c>
      <c r="C176" s="3" t="s">
        <v>354</v>
      </c>
    </row>
    <row r="177" customFormat="1" spans="1:3">
      <c r="A177">
        <v>402080</v>
      </c>
      <c r="B177" t="s">
        <v>355</v>
      </c>
      <c r="C177" s="3" t="s">
        <v>356</v>
      </c>
    </row>
    <row r="178" customFormat="1" spans="1:3">
      <c r="A178">
        <v>403010</v>
      </c>
      <c r="B178" t="s">
        <v>357</v>
      </c>
      <c r="C178" s="3" t="s">
        <v>333</v>
      </c>
    </row>
    <row r="179" customFormat="1" spans="1:3">
      <c r="A179">
        <v>403020</v>
      </c>
      <c r="B179" t="s">
        <v>358</v>
      </c>
      <c r="C179" s="3" t="s">
        <v>359</v>
      </c>
    </row>
    <row r="180" customFormat="1" spans="1:3">
      <c r="A180">
        <v>403030</v>
      </c>
      <c r="B180" t="s">
        <v>360</v>
      </c>
      <c r="C180" s="4" t="s">
        <v>361</v>
      </c>
    </row>
    <row r="181" customFormat="1" spans="1:3">
      <c r="A181">
        <v>403040</v>
      </c>
      <c r="B181" t="s">
        <v>362</v>
      </c>
      <c r="C181" s="3" t="s">
        <v>363</v>
      </c>
    </row>
    <row r="182" customFormat="1" spans="1:3">
      <c r="A182">
        <v>403050</v>
      </c>
      <c r="B182" t="s">
        <v>364</v>
      </c>
      <c r="C182" s="3" t="s">
        <v>365</v>
      </c>
    </row>
    <row r="183" customFormat="1" spans="1:3">
      <c r="A183">
        <v>403060</v>
      </c>
      <c r="B183" t="s">
        <v>366</v>
      </c>
      <c r="C183" s="4" t="s">
        <v>367</v>
      </c>
    </row>
    <row r="184" customFormat="1" spans="1:3">
      <c r="A184">
        <v>403070</v>
      </c>
      <c r="B184" t="s">
        <v>368</v>
      </c>
      <c r="C184" s="4" t="s">
        <v>369</v>
      </c>
    </row>
    <row r="185" customFormat="1" spans="1:3">
      <c r="A185">
        <v>403080</v>
      </c>
      <c r="B185" t="s">
        <v>370</v>
      </c>
      <c r="C185" s="3" t="s">
        <v>371</v>
      </c>
    </row>
    <row r="186" customFormat="1" spans="1:3">
      <c r="A186">
        <v>404010</v>
      </c>
      <c r="B186" t="s">
        <v>372</v>
      </c>
      <c r="C186" s="3" t="s">
        <v>333</v>
      </c>
    </row>
    <row r="187" customFormat="1" spans="1:3">
      <c r="A187">
        <v>404020</v>
      </c>
      <c r="B187" t="s">
        <v>373</v>
      </c>
      <c r="C187" s="3" t="s">
        <v>333</v>
      </c>
    </row>
    <row r="188" customFormat="1" spans="1:3">
      <c r="A188">
        <v>404030</v>
      </c>
      <c r="B188" t="s">
        <v>374</v>
      </c>
      <c r="C188" s="3" t="s">
        <v>375</v>
      </c>
    </row>
    <row r="189" customFormat="1" spans="1:3">
      <c r="A189">
        <v>404040</v>
      </c>
      <c r="B189" t="s">
        <v>376</v>
      </c>
      <c r="C189" s="3" t="s">
        <v>377</v>
      </c>
    </row>
    <row r="190" customFormat="1" spans="1:3">
      <c r="A190">
        <v>404050</v>
      </c>
      <c r="B190" t="s">
        <v>378</v>
      </c>
      <c r="C190" s="4" t="s">
        <v>379</v>
      </c>
    </row>
    <row r="191" customFormat="1" spans="1:3">
      <c r="A191">
        <v>404060</v>
      </c>
      <c r="B191" t="s">
        <v>380</v>
      </c>
      <c r="C191" s="3" t="s">
        <v>342</v>
      </c>
    </row>
    <row r="192" customFormat="1" spans="1:3">
      <c r="A192">
        <v>404070</v>
      </c>
      <c r="B192" t="s">
        <v>381</v>
      </c>
      <c r="C192" s="3" t="s">
        <v>382</v>
      </c>
    </row>
    <row r="193" customFormat="1" spans="1:3">
      <c r="A193">
        <v>404080</v>
      </c>
      <c r="B193" t="s">
        <v>383</v>
      </c>
      <c r="C193" s="3" t="s">
        <v>342</v>
      </c>
    </row>
    <row r="194" customFormat="1" spans="1:3">
      <c r="A194">
        <v>405010</v>
      </c>
      <c r="B194" t="s">
        <v>384</v>
      </c>
      <c r="C194" s="3" t="s">
        <v>333</v>
      </c>
    </row>
    <row r="195" customFormat="1" spans="1:3">
      <c r="A195">
        <v>405020</v>
      </c>
      <c r="B195" t="s">
        <v>385</v>
      </c>
      <c r="C195" s="3" t="s">
        <v>333</v>
      </c>
    </row>
    <row r="196" customFormat="1" spans="1:3">
      <c r="A196">
        <v>405030</v>
      </c>
      <c r="B196" t="s">
        <v>386</v>
      </c>
      <c r="C196" s="3" t="s">
        <v>377</v>
      </c>
    </row>
    <row r="197" customFormat="1" spans="1:3">
      <c r="A197">
        <v>405040</v>
      </c>
      <c r="B197" t="s">
        <v>387</v>
      </c>
      <c r="C197" s="3" t="s">
        <v>388</v>
      </c>
    </row>
    <row r="198" customFormat="1" spans="1:3">
      <c r="A198">
        <v>405050</v>
      </c>
      <c r="B198" t="s">
        <v>389</v>
      </c>
      <c r="C198" s="3" t="s">
        <v>356</v>
      </c>
    </row>
    <row r="199" customFormat="1" spans="1:3">
      <c r="A199">
        <v>405060</v>
      </c>
      <c r="B199" t="s">
        <v>390</v>
      </c>
      <c r="C199" s="3" t="s">
        <v>391</v>
      </c>
    </row>
    <row r="200" customFormat="1" spans="1:3">
      <c r="A200">
        <v>405070</v>
      </c>
      <c r="B200" t="s">
        <v>392</v>
      </c>
      <c r="C200" s="4" t="s">
        <v>393</v>
      </c>
    </row>
    <row r="201" customFormat="1" spans="1:3">
      <c r="A201">
        <v>405080</v>
      </c>
      <c r="B201" t="s">
        <v>394</v>
      </c>
      <c r="C201" s="3" t="s">
        <v>395</v>
      </c>
    </row>
    <row r="202" customFormat="1" spans="1:3">
      <c r="A202">
        <v>411010</v>
      </c>
      <c r="B202" t="s">
        <v>396</v>
      </c>
      <c r="C202" s="4" t="s">
        <v>397</v>
      </c>
    </row>
    <row r="203" customFormat="1" spans="1:3">
      <c r="A203">
        <v>411020</v>
      </c>
      <c r="B203" t="s">
        <v>398</v>
      </c>
      <c r="C203" s="4" t="s">
        <v>397</v>
      </c>
    </row>
    <row r="204" customFormat="1" spans="1:3">
      <c r="A204">
        <v>411030</v>
      </c>
      <c r="B204" t="s">
        <v>399</v>
      </c>
      <c r="C204" s="4" t="s">
        <v>400</v>
      </c>
    </row>
    <row r="205" customFormat="1" spans="1:3">
      <c r="A205">
        <v>411040</v>
      </c>
      <c r="B205" t="s">
        <v>401</v>
      </c>
      <c r="C205" s="4" t="s">
        <v>342</v>
      </c>
    </row>
    <row r="206" customFormat="1" spans="1:3">
      <c r="A206">
        <v>411050</v>
      </c>
      <c r="B206" t="s">
        <v>402</v>
      </c>
      <c r="C206" s="4" t="s">
        <v>379</v>
      </c>
    </row>
    <row r="207" customFormat="1" spans="1:3">
      <c r="A207">
        <v>411060</v>
      </c>
      <c r="B207" t="s">
        <v>403</v>
      </c>
      <c r="C207" s="4" t="s">
        <v>379</v>
      </c>
    </row>
    <row r="208" customFormat="1" spans="1:3">
      <c r="A208">
        <v>411070</v>
      </c>
      <c r="B208" t="s">
        <v>404</v>
      </c>
      <c r="C208" s="4" t="s">
        <v>397</v>
      </c>
    </row>
    <row r="209" customFormat="1" spans="1:3">
      <c r="A209">
        <v>411080</v>
      </c>
      <c r="B209" t="s">
        <v>405</v>
      </c>
      <c r="C209" s="4" t="s">
        <v>397</v>
      </c>
    </row>
    <row r="210" customFormat="1" spans="1:3">
      <c r="A210">
        <v>411090</v>
      </c>
      <c r="B210" t="s">
        <v>406</v>
      </c>
      <c r="C210" s="4" t="s">
        <v>407</v>
      </c>
    </row>
    <row r="211" customFormat="1" spans="1:3">
      <c r="A211">
        <v>412010</v>
      </c>
      <c r="B211" t="s">
        <v>408</v>
      </c>
      <c r="C211" t="s">
        <v>409</v>
      </c>
    </row>
    <row r="212" customFormat="1" spans="1:3">
      <c r="A212">
        <v>412020</v>
      </c>
      <c r="B212" t="s">
        <v>410</v>
      </c>
      <c r="C212" s="4" t="s">
        <v>347</v>
      </c>
    </row>
    <row r="213" customFormat="1" spans="1:3">
      <c r="A213">
        <v>412030</v>
      </c>
      <c r="B213" t="s">
        <v>411</v>
      </c>
      <c r="C213" s="4" t="s">
        <v>412</v>
      </c>
    </row>
    <row r="214" customFormat="1" spans="1:3">
      <c r="A214">
        <v>412040</v>
      </c>
      <c r="B214" t="s">
        <v>413</v>
      </c>
      <c r="C214" s="4" t="s">
        <v>414</v>
      </c>
    </row>
    <row r="215" customFormat="1" spans="1:3">
      <c r="A215">
        <v>412050</v>
      </c>
      <c r="B215" t="s">
        <v>415</v>
      </c>
      <c r="C215" s="4" t="s">
        <v>350</v>
      </c>
    </row>
    <row r="216" customFormat="1" spans="1:3">
      <c r="A216">
        <v>412060</v>
      </c>
      <c r="B216" t="s">
        <v>416</v>
      </c>
      <c r="C216" s="3" t="s">
        <v>333</v>
      </c>
    </row>
    <row r="217" customFormat="1" spans="1:3">
      <c r="A217">
        <v>412070</v>
      </c>
      <c r="B217" t="s">
        <v>417</v>
      </c>
      <c r="C217" s="4" t="s">
        <v>397</v>
      </c>
    </row>
    <row r="218" customFormat="1" spans="1:3">
      <c r="A218">
        <v>412080</v>
      </c>
      <c r="B218" t="s">
        <v>418</v>
      </c>
      <c r="C218" s="3" t="s">
        <v>333</v>
      </c>
    </row>
    <row r="219" customFormat="1" spans="1:3">
      <c r="A219">
        <v>412090</v>
      </c>
      <c r="B219" t="s">
        <v>419</v>
      </c>
      <c r="C219" s="4" t="s">
        <v>420</v>
      </c>
    </row>
    <row r="220" customFormat="1" spans="1:3">
      <c r="A220">
        <v>413010</v>
      </c>
      <c r="B220" t="s">
        <v>421</v>
      </c>
      <c r="C220" s="4" t="s">
        <v>361</v>
      </c>
    </row>
    <row r="221" customFormat="1" spans="1:3">
      <c r="A221">
        <v>413020</v>
      </c>
      <c r="B221" t="s">
        <v>422</v>
      </c>
      <c r="C221" s="3" t="s">
        <v>363</v>
      </c>
    </row>
    <row r="222" customFormat="1" spans="1:3">
      <c r="A222">
        <v>413030</v>
      </c>
      <c r="B222" t="s">
        <v>423</v>
      </c>
      <c r="C222" s="3" t="s">
        <v>342</v>
      </c>
    </row>
    <row r="223" customFormat="1" spans="1:3">
      <c r="A223">
        <v>413040</v>
      </c>
      <c r="B223" t="s">
        <v>424</v>
      </c>
      <c r="C223" s="3" t="s">
        <v>363</v>
      </c>
    </row>
    <row r="224" customFormat="1" spans="1:3">
      <c r="A224">
        <v>413050</v>
      </c>
      <c r="B224" t="s">
        <v>425</v>
      </c>
      <c r="C224" s="3" t="s">
        <v>342</v>
      </c>
    </row>
    <row r="225" customFormat="1" spans="1:3">
      <c r="A225">
        <v>413060</v>
      </c>
      <c r="B225" t="s">
        <v>426</v>
      </c>
      <c r="C225" s="3" t="s">
        <v>342</v>
      </c>
    </row>
    <row r="226" customFormat="1" spans="1:3">
      <c r="A226">
        <v>413070</v>
      </c>
      <c r="B226" t="s">
        <v>427</v>
      </c>
      <c r="C226" s="4" t="s">
        <v>428</v>
      </c>
    </row>
    <row r="227" customFormat="1" spans="1:3">
      <c r="A227">
        <v>413080</v>
      </c>
      <c r="B227" t="s">
        <v>429</v>
      </c>
      <c r="C227" s="3" t="s">
        <v>377</v>
      </c>
    </row>
    <row r="228" customFormat="1" spans="1:3">
      <c r="A228">
        <v>413090</v>
      </c>
      <c r="B228" t="s">
        <v>430</v>
      </c>
      <c r="C228" s="3" t="s">
        <v>431</v>
      </c>
    </row>
    <row r="229" customFormat="1" spans="1:3">
      <c r="A229">
        <v>414010</v>
      </c>
      <c r="B229" t="s">
        <v>432</v>
      </c>
      <c r="C229" s="3" t="s">
        <v>433</v>
      </c>
    </row>
    <row r="230" customFormat="1" spans="1:3">
      <c r="A230">
        <v>414020</v>
      </c>
      <c r="B230" t="s">
        <v>434</v>
      </c>
      <c r="C230" s="3" t="s">
        <v>435</v>
      </c>
    </row>
    <row r="231" customFormat="1" spans="1:3">
      <c r="A231">
        <v>414030</v>
      </c>
      <c r="B231" t="s">
        <v>436</v>
      </c>
      <c r="C231" s="3" t="s">
        <v>354</v>
      </c>
    </row>
    <row r="232" customFormat="1" spans="1:3">
      <c r="A232">
        <v>414040</v>
      </c>
      <c r="B232" t="s">
        <v>437</v>
      </c>
      <c r="C232" s="3" t="s">
        <v>382</v>
      </c>
    </row>
    <row r="233" customFormat="1" spans="1:3">
      <c r="A233">
        <v>414050</v>
      </c>
      <c r="B233" t="s">
        <v>438</v>
      </c>
      <c r="C233" s="3" t="s">
        <v>439</v>
      </c>
    </row>
    <row r="234" customFormat="1" spans="1:3">
      <c r="A234">
        <v>414060</v>
      </c>
      <c r="B234" t="s">
        <v>440</v>
      </c>
      <c r="C234" s="4" t="s">
        <v>379</v>
      </c>
    </row>
    <row r="235" customFormat="1" spans="1:3">
      <c r="A235">
        <v>414070</v>
      </c>
      <c r="B235" t="s">
        <v>441</v>
      </c>
      <c r="C235" s="4" t="s">
        <v>442</v>
      </c>
    </row>
    <row r="236" customFormat="1" spans="1:3">
      <c r="A236">
        <v>414080</v>
      </c>
      <c r="B236" t="s">
        <v>443</v>
      </c>
      <c r="C236" s="3" t="s">
        <v>382</v>
      </c>
    </row>
    <row r="237" customFormat="1" spans="1:3">
      <c r="A237">
        <v>414090</v>
      </c>
      <c r="B237" t="s">
        <v>444</v>
      </c>
      <c r="C237" s="3" t="s">
        <v>342</v>
      </c>
    </row>
    <row r="238" customFormat="1" spans="1:3">
      <c r="A238">
        <v>415010</v>
      </c>
      <c r="B238" t="s">
        <v>445</v>
      </c>
      <c r="C238" s="3" t="s">
        <v>446</v>
      </c>
    </row>
    <row r="239" customFormat="1" spans="1:3">
      <c r="A239">
        <v>415020</v>
      </c>
      <c r="B239" t="s">
        <v>447</v>
      </c>
      <c r="C239" s="3" t="s">
        <v>446</v>
      </c>
    </row>
    <row r="240" customFormat="1" spans="1:3">
      <c r="A240">
        <v>415030</v>
      </c>
      <c r="B240" t="s">
        <v>448</v>
      </c>
      <c r="C240" s="4" t="s">
        <v>379</v>
      </c>
    </row>
    <row r="241" customFormat="1" spans="1:3">
      <c r="A241">
        <v>415040</v>
      </c>
      <c r="B241" t="s">
        <v>449</v>
      </c>
      <c r="C241" s="4" t="s">
        <v>450</v>
      </c>
    </row>
    <row r="242" customFormat="1" spans="1:3">
      <c r="A242">
        <v>415050</v>
      </c>
      <c r="B242" t="s">
        <v>451</v>
      </c>
      <c r="C242" s="3" t="s">
        <v>377</v>
      </c>
    </row>
    <row r="243" customFormat="1" spans="1:3">
      <c r="A243">
        <v>415060</v>
      </c>
      <c r="B243" t="s">
        <v>452</v>
      </c>
      <c r="C243" s="3" t="s">
        <v>377</v>
      </c>
    </row>
    <row r="244" customFormat="1" spans="1:3">
      <c r="A244">
        <v>415070</v>
      </c>
      <c r="B244" t="s">
        <v>453</v>
      </c>
      <c r="C244" s="3" t="s">
        <v>446</v>
      </c>
    </row>
    <row r="245" customFormat="1" spans="1:3">
      <c r="A245">
        <v>415080</v>
      </c>
      <c r="B245" t="s">
        <v>454</v>
      </c>
      <c r="C245" s="3" t="s">
        <v>455</v>
      </c>
    </row>
    <row r="246" customFormat="1" spans="1:3">
      <c r="A246">
        <v>415090</v>
      </c>
      <c r="B246" t="s">
        <v>456</v>
      </c>
      <c r="C246" s="3" t="s">
        <v>457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1" workbookViewId="0">
      <selection activeCell="Z15" sqref="Z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458</v>
      </c>
      <c r="P1" t="s">
        <v>459</v>
      </c>
      <c r="S1" t="s">
        <v>460</v>
      </c>
      <c r="U1" t="s">
        <v>461</v>
      </c>
      <c r="W1" t="s">
        <v>462</v>
      </c>
      <c r="Y1" t="s">
        <v>25</v>
      </c>
    </row>
    <row r="2" spans="1:29">
      <c r="A2">
        <v>0</v>
      </c>
      <c r="B2" t="s">
        <v>463</v>
      </c>
      <c r="D2">
        <v>0</v>
      </c>
      <c r="E2" t="s">
        <v>463</v>
      </c>
      <c r="G2">
        <v>0</v>
      </c>
      <c r="H2" t="s">
        <v>463</v>
      </c>
      <c r="J2">
        <v>0</v>
      </c>
      <c r="K2" t="s">
        <v>463</v>
      </c>
      <c r="M2">
        <v>0</v>
      </c>
      <c r="N2" t="s">
        <v>463</v>
      </c>
      <c r="P2">
        <v>0</v>
      </c>
      <c r="Q2" t="s">
        <v>464</v>
      </c>
      <c r="U2">
        <v>0</v>
      </c>
      <c r="V2" t="s">
        <v>463</v>
      </c>
      <c r="W2">
        <v>0</v>
      </c>
      <c r="X2" t="s">
        <v>463</v>
      </c>
      <c r="Y2">
        <v>0</v>
      </c>
      <c r="Z2" t="s">
        <v>463</v>
      </c>
      <c r="AB2">
        <v>301</v>
      </c>
      <c r="AC2" t="s">
        <v>465</v>
      </c>
    </row>
    <row r="3" spans="1:29">
      <c r="A3">
        <v>1</v>
      </c>
      <c r="B3" t="s">
        <v>466</v>
      </c>
      <c r="D3">
        <v>1</v>
      </c>
      <c r="E3" t="s">
        <v>467</v>
      </c>
      <c r="G3">
        <v>1</v>
      </c>
      <c r="H3" t="s">
        <v>468</v>
      </c>
      <c r="J3">
        <v>1</v>
      </c>
      <c r="K3" t="s">
        <v>469</v>
      </c>
      <c r="M3">
        <v>1</v>
      </c>
      <c r="N3" t="s">
        <v>466</v>
      </c>
      <c r="P3">
        <v>1010</v>
      </c>
      <c r="Q3" t="s">
        <v>470</v>
      </c>
      <c r="U3">
        <v>1010</v>
      </c>
      <c r="V3" t="s">
        <v>471</v>
      </c>
      <c r="W3">
        <v>1</v>
      </c>
      <c r="X3" t="s">
        <v>472</v>
      </c>
      <c r="Y3">
        <v>1</v>
      </c>
      <c r="Z3" t="s">
        <v>473</v>
      </c>
      <c r="AB3">
        <v>302</v>
      </c>
      <c r="AC3" t="s">
        <v>474</v>
      </c>
    </row>
    <row r="4" spans="1:29">
      <c r="A4">
        <v>2</v>
      </c>
      <c r="B4" t="s">
        <v>475</v>
      </c>
      <c r="D4">
        <v>2</v>
      </c>
      <c r="E4" t="s">
        <v>476</v>
      </c>
      <c r="G4">
        <v>2</v>
      </c>
      <c r="H4" t="s">
        <v>477</v>
      </c>
      <c r="J4">
        <v>2</v>
      </c>
      <c r="K4" t="s">
        <v>478</v>
      </c>
      <c r="M4">
        <v>2</v>
      </c>
      <c r="N4" t="s">
        <v>475</v>
      </c>
      <c r="P4">
        <v>1020</v>
      </c>
      <c r="Q4" t="s">
        <v>479</v>
      </c>
      <c r="U4">
        <v>1020</v>
      </c>
      <c r="V4" t="s">
        <v>480</v>
      </c>
      <c r="W4">
        <v>2</v>
      </c>
      <c r="X4" t="s">
        <v>481</v>
      </c>
      <c r="Y4">
        <v>2</v>
      </c>
      <c r="Z4" t="s">
        <v>482</v>
      </c>
      <c r="AB4" s="2">
        <v>303</v>
      </c>
      <c r="AC4" s="2" t="s">
        <v>483</v>
      </c>
    </row>
    <row r="5" spans="1:29">
      <c r="A5">
        <v>3</v>
      </c>
      <c r="B5" t="s">
        <v>484</v>
      </c>
      <c r="D5">
        <v>3</v>
      </c>
      <c r="E5" t="s">
        <v>485</v>
      </c>
      <c r="G5">
        <v>3</v>
      </c>
      <c r="H5" t="s">
        <v>486</v>
      </c>
      <c r="J5">
        <v>3</v>
      </c>
      <c r="K5" t="s">
        <v>487</v>
      </c>
      <c r="M5">
        <v>3</v>
      </c>
      <c r="N5" t="s">
        <v>484</v>
      </c>
      <c r="P5">
        <v>1030</v>
      </c>
      <c r="Q5" t="s">
        <v>488</v>
      </c>
      <c r="U5">
        <v>1030</v>
      </c>
      <c r="V5" t="s">
        <v>489</v>
      </c>
      <c r="W5">
        <v>3</v>
      </c>
      <c r="X5" t="s">
        <v>490</v>
      </c>
      <c r="Y5">
        <v>3</v>
      </c>
      <c r="Z5" t="s">
        <v>491</v>
      </c>
      <c r="AB5">
        <v>304</v>
      </c>
      <c r="AC5" t="s">
        <v>492</v>
      </c>
    </row>
    <row r="6" spans="4:29">
      <c r="D6">
        <v>4</v>
      </c>
      <c r="E6" t="s">
        <v>481</v>
      </c>
      <c r="G6">
        <v>4</v>
      </c>
      <c r="H6" t="s">
        <v>31</v>
      </c>
      <c r="J6">
        <v>4</v>
      </c>
      <c r="K6" t="s">
        <v>493</v>
      </c>
      <c r="M6">
        <v>4</v>
      </c>
      <c r="N6" t="s">
        <v>493</v>
      </c>
      <c r="P6">
        <v>1040</v>
      </c>
      <c r="Q6" t="s">
        <v>494</v>
      </c>
      <c r="U6">
        <v>1040</v>
      </c>
      <c r="V6" t="s">
        <v>495</v>
      </c>
      <c r="W6">
        <v>4</v>
      </c>
      <c r="X6" t="s">
        <v>496</v>
      </c>
      <c r="Y6">
        <v>4</v>
      </c>
      <c r="Z6" t="s">
        <v>497</v>
      </c>
      <c r="AB6">
        <v>305</v>
      </c>
      <c r="AC6" t="s">
        <v>498</v>
      </c>
    </row>
    <row r="7" spans="4:29">
      <c r="D7">
        <v>5</v>
      </c>
      <c r="E7" t="s">
        <v>499</v>
      </c>
      <c r="G7">
        <v>5</v>
      </c>
      <c r="H7" t="s">
        <v>500</v>
      </c>
      <c r="J7">
        <v>6</v>
      </c>
      <c r="K7" t="s">
        <v>501</v>
      </c>
      <c r="M7">
        <v>5</v>
      </c>
      <c r="N7" t="s">
        <v>502</v>
      </c>
      <c r="P7">
        <v>1050</v>
      </c>
      <c r="Q7" t="s">
        <v>503</v>
      </c>
      <c r="U7">
        <v>1050</v>
      </c>
      <c r="V7" t="s">
        <v>504</v>
      </c>
      <c r="W7">
        <v>5</v>
      </c>
      <c r="X7" t="s">
        <v>505</v>
      </c>
      <c r="Y7">
        <v>5</v>
      </c>
      <c r="Z7" t="s">
        <v>506</v>
      </c>
      <c r="AB7">
        <v>306</v>
      </c>
      <c r="AC7" t="s">
        <v>507</v>
      </c>
    </row>
    <row r="8" spans="7:29">
      <c r="G8">
        <v>6</v>
      </c>
      <c r="H8" t="s">
        <v>508</v>
      </c>
      <c r="J8">
        <v>7</v>
      </c>
      <c r="K8" t="s">
        <v>509</v>
      </c>
      <c r="M8">
        <v>11</v>
      </c>
      <c r="N8" t="s">
        <v>510</v>
      </c>
      <c r="P8">
        <v>1060</v>
      </c>
      <c r="Q8" t="s">
        <v>511</v>
      </c>
      <c r="U8">
        <v>1060</v>
      </c>
      <c r="V8" t="s">
        <v>512</v>
      </c>
      <c r="W8">
        <v>6</v>
      </c>
      <c r="X8" t="s">
        <v>513</v>
      </c>
      <c r="Y8">
        <v>11</v>
      </c>
      <c r="Z8" t="s">
        <v>514</v>
      </c>
      <c r="AB8">
        <v>307</v>
      </c>
      <c r="AC8" t="s">
        <v>515</v>
      </c>
    </row>
    <row r="9" spans="7:29">
      <c r="G9">
        <v>11</v>
      </c>
      <c r="H9" t="s">
        <v>516</v>
      </c>
      <c r="J9">
        <v>11</v>
      </c>
      <c r="K9" t="s">
        <v>517</v>
      </c>
      <c r="M9">
        <v>12</v>
      </c>
      <c r="N9" s="1" t="s">
        <v>518</v>
      </c>
      <c r="P9">
        <v>1070</v>
      </c>
      <c r="Q9" t="s">
        <v>519</v>
      </c>
      <c r="U9">
        <v>1130</v>
      </c>
      <c r="V9" t="s">
        <v>520</v>
      </c>
      <c r="W9">
        <v>7</v>
      </c>
      <c r="X9" t="s">
        <v>521</v>
      </c>
      <c r="Y9">
        <v>20</v>
      </c>
      <c r="Z9" t="s">
        <v>522</v>
      </c>
      <c r="AB9">
        <v>308</v>
      </c>
      <c r="AC9" t="s">
        <v>523</v>
      </c>
    </row>
    <row r="10" spans="7:29">
      <c r="G10">
        <v>12</v>
      </c>
      <c r="H10" t="s">
        <v>524</v>
      </c>
      <c r="J10">
        <v>101</v>
      </c>
      <c r="K10" t="s">
        <v>525</v>
      </c>
      <c r="M10">
        <v>13</v>
      </c>
      <c r="N10" s="1" t="s">
        <v>526</v>
      </c>
      <c r="P10">
        <v>1080</v>
      </c>
      <c r="Q10" t="s">
        <v>527</v>
      </c>
      <c r="U10">
        <v>1140</v>
      </c>
      <c r="V10" t="s">
        <v>528</v>
      </c>
      <c r="W10">
        <v>10</v>
      </c>
      <c r="X10" t="s">
        <v>529</v>
      </c>
      <c r="Y10">
        <v>24</v>
      </c>
      <c r="Z10" t="s">
        <v>530</v>
      </c>
      <c r="AB10">
        <v>309</v>
      </c>
      <c r="AC10" t="s">
        <v>531</v>
      </c>
    </row>
    <row r="11" spans="13:29">
      <c r="M11">
        <v>21</v>
      </c>
      <c r="N11" t="s">
        <v>532</v>
      </c>
      <c r="P11">
        <v>1090</v>
      </c>
      <c r="Q11" t="s">
        <v>533</v>
      </c>
      <c r="U11">
        <v>1150</v>
      </c>
      <c r="V11" t="s">
        <v>534</v>
      </c>
      <c r="W11">
        <v>11</v>
      </c>
      <c r="X11" t="s">
        <v>31</v>
      </c>
      <c r="Y11">
        <v>31</v>
      </c>
      <c r="Z11" t="s">
        <v>535</v>
      </c>
      <c r="AB11">
        <v>310</v>
      </c>
      <c r="AC11" t="s">
        <v>536</v>
      </c>
    </row>
    <row r="12" spans="13:29">
      <c r="M12">
        <v>31</v>
      </c>
      <c r="N12" t="s">
        <v>537</v>
      </c>
      <c r="P12">
        <v>1100</v>
      </c>
      <c r="Q12" t="s">
        <v>538</v>
      </c>
      <c r="U12">
        <v>1160</v>
      </c>
      <c r="V12" t="s">
        <v>539</v>
      </c>
      <c r="W12">
        <v>99</v>
      </c>
      <c r="X12" t="s">
        <v>540</v>
      </c>
      <c r="Y12">
        <v>32</v>
      </c>
      <c r="Z12" t="s">
        <v>541</v>
      </c>
      <c r="AB12">
        <v>311</v>
      </c>
      <c r="AC12" t="s">
        <v>542</v>
      </c>
    </row>
    <row r="13" spans="13:29">
      <c r="M13">
        <v>32</v>
      </c>
      <c r="N13" t="s">
        <v>543</v>
      </c>
      <c r="P13">
        <v>1110</v>
      </c>
      <c r="Q13" t="s">
        <v>544</v>
      </c>
      <c r="U13">
        <v>2010</v>
      </c>
      <c r="V13" t="s">
        <v>545</v>
      </c>
      <c r="W13" t="s">
        <v>546</v>
      </c>
      <c r="Y13">
        <v>33</v>
      </c>
      <c r="Z13" t="s">
        <v>547</v>
      </c>
      <c r="AB13">
        <v>401</v>
      </c>
      <c r="AC13" t="s">
        <v>548</v>
      </c>
    </row>
    <row r="14" spans="16:29">
      <c r="P14">
        <v>2010</v>
      </c>
      <c r="Q14" t="s">
        <v>549</v>
      </c>
      <c r="U14">
        <v>3010</v>
      </c>
      <c r="V14" t="s">
        <v>550</v>
      </c>
      <c r="Y14">
        <v>41</v>
      </c>
      <c r="Z14" t="s">
        <v>551</v>
      </c>
      <c r="AB14">
        <v>402</v>
      </c>
      <c r="AC14" t="s">
        <v>552</v>
      </c>
    </row>
    <row r="15" spans="16:29">
      <c r="P15">
        <v>2020</v>
      </c>
      <c r="Q15" t="s">
        <v>553</v>
      </c>
      <c r="U15">
        <v>3020</v>
      </c>
      <c r="V15" t="s">
        <v>554</v>
      </c>
      <c r="Y15">
        <v>51</v>
      </c>
      <c r="Z15" t="s">
        <v>555</v>
      </c>
      <c r="AB15">
        <v>403</v>
      </c>
      <c r="AC15" t="s">
        <v>556</v>
      </c>
    </row>
    <row r="16" spans="16:29">
      <c r="P16">
        <v>2030</v>
      </c>
      <c r="Q16" t="s">
        <v>557</v>
      </c>
      <c r="U16">
        <v>3030</v>
      </c>
      <c r="V16" t="s">
        <v>558</v>
      </c>
      <c r="Y16">
        <v>52</v>
      </c>
      <c r="Z16" t="s">
        <v>559</v>
      </c>
      <c r="AB16">
        <v>404</v>
      </c>
      <c r="AC16" t="s">
        <v>560</v>
      </c>
    </row>
    <row r="17" spans="16:29">
      <c r="P17">
        <v>2040</v>
      </c>
      <c r="Q17" t="s">
        <v>561</v>
      </c>
      <c r="U17">
        <v>3040</v>
      </c>
      <c r="V17" t="s">
        <v>562</v>
      </c>
      <c r="AB17">
        <v>501</v>
      </c>
      <c r="AC17" t="s">
        <v>563</v>
      </c>
    </row>
    <row r="18" spans="16:29">
      <c r="P18">
        <v>2110</v>
      </c>
      <c r="Q18" t="s">
        <v>564</v>
      </c>
      <c r="U18">
        <v>3050</v>
      </c>
      <c r="V18" t="s">
        <v>565</v>
      </c>
      <c r="AB18">
        <v>502</v>
      </c>
      <c r="AC18" t="s">
        <v>566</v>
      </c>
    </row>
    <row r="19" spans="16:29">
      <c r="P19">
        <v>2120</v>
      </c>
      <c r="Q19" t="s">
        <v>567</v>
      </c>
      <c r="U19">
        <v>3060</v>
      </c>
      <c r="V19" t="s">
        <v>568</v>
      </c>
      <c r="AB19">
        <v>503</v>
      </c>
      <c r="AC19" t="s">
        <v>569</v>
      </c>
    </row>
    <row r="20" spans="16:29">
      <c r="P20">
        <v>2130</v>
      </c>
      <c r="Q20" t="s">
        <v>570</v>
      </c>
      <c r="U20">
        <v>4010</v>
      </c>
      <c r="V20" t="s">
        <v>571</v>
      </c>
      <c r="AB20">
        <v>504</v>
      </c>
      <c r="AC20" t="s">
        <v>572</v>
      </c>
    </row>
    <row r="21" spans="16:29">
      <c r="P21">
        <v>3010</v>
      </c>
      <c r="Q21" t="s">
        <v>573</v>
      </c>
      <c r="U21">
        <v>4020</v>
      </c>
      <c r="V21" t="s">
        <v>574</v>
      </c>
      <c r="AB21">
        <v>505</v>
      </c>
      <c r="AC21" t="s">
        <v>575</v>
      </c>
    </row>
    <row r="22" spans="16:29">
      <c r="P22">
        <v>3020</v>
      </c>
      <c r="Q22" t="s">
        <v>576</v>
      </c>
      <c r="U22">
        <v>5010</v>
      </c>
      <c r="V22" t="s">
        <v>577</v>
      </c>
      <c r="AB22">
        <v>506</v>
      </c>
      <c r="AC22" t="s">
        <v>578</v>
      </c>
    </row>
    <row r="23" spans="16:29">
      <c r="P23">
        <v>3030</v>
      </c>
      <c r="Q23" t="s">
        <v>579</v>
      </c>
      <c r="U23">
        <v>5020</v>
      </c>
      <c r="V23" t="s">
        <v>580</v>
      </c>
      <c r="AB23">
        <v>507</v>
      </c>
      <c r="AC23" t="s">
        <v>581</v>
      </c>
    </row>
    <row r="24" spans="16:29">
      <c r="P24">
        <v>3040</v>
      </c>
      <c r="Q24" t="s">
        <v>582</v>
      </c>
      <c r="U24">
        <v>5030</v>
      </c>
      <c r="V24" t="s">
        <v>583</v>
      </c>
      <c r="AB24">
        <v>508</v>
      </c>
      <c r="AC24" t="s">
        <v>548</v>
      </c>
    </row>
    <row r="25" spans="16:29">
      <c r="P25">
        <v>3050</v>
      </c>
      <c r="Q25" t="s">
        <v>584</v>
      </c>
      <c r="U25">
        <v>5040</v>
      </c>
      <c r="V25" t="s">
        <v>585</v>
      </c>
      <c r="AB25">
        <v>509</v>
      </c>
      <c r="AC25" t="s">
        <v>556</v>
      </c>
    </row>
    <row r="26" spans="16:22">
      <c r="P26">
        <v>3060</v>
      </c>
      <c r="Q26" t="s">
        <v>586</v>
      </c>
      <c r="U26">
        <v>5050</v>
      </c>
      <c r="V26" t="s">
        <v>587</v>
      </c>
    </row>
    <row r="27" spans="16:22">
      <c r="P27">
        <v>3070</v>
      </c>
      <c r="Q27" t="s">
        <v>588</v>
      </c>
      <c r="U27">
        <v>5060</v>
      </c>
      <c r="V27" t="s">
        <v>589</v>
      </c>
    </row>
    <row r="28" spans="16:22">
      <c r="P28">
        <v>4010</v>
      </c>
      <c r="Q28" t="s">
        <v>590</v>
      </c>
      <c r="U28">
        <v>5070</v>
      </c>
      <c r="V28" t="s">
        <v>591</v>
      </c>
    </row>
    <row r="29" spans="16:22">
      <c r="P29">
        <v>4020</v>
      </c>
      <c r="Q29" t="s">
        <v>592</v>
      </c>
      <c r="U29">
        <v>5080</v>
      </c>
      <c r="V29" t="s">
        <v>593</v>
      </c>
    </row>
    <row r="30" spans="16:22">
      <c r="P30">
        <v>4030</v>
      </c>
      <c r="Q30" t="s">
        <v>594</v>
      </c>
      <c r="U30">
        <v>5090</v>
      </c>
      <c r="V30" t="s">
        <v>595</v>
      </c>
    </row>
    <row r="31" spans="16:22">
      <c r="P31">
        <v>4040</v>
      </c>
      <c r="Q31" t="s">
        <v>596</v>
      </c>
      <c r="U31">
        <v>5100</v>
      </c>
      <c r="V31" t="s">
        <v>597</v>
      </c>
    </row>
    <row r="32" spans="16:22">
      <c r="P32">
        <v>5010</v>
      </c>
      <c r="Q32" t="s">
        <v>598</v>
      </c>
      <c r="U32">
        <v>5110</v>
      </c>
      <c r="V32" t="s">
        <v>599</v>
      </c>
    </row>
    <row r="33" spans="16:22">
      <c r="P33">
        <v>5011</v>
      </c>
      <c r="Q33" t="s">
        <v>600</v>
      </c>
      <c r="U33">
        <v>5120</v>
      </c>
      <c r="V33" t="s">
        <v>601</v>
      </c>
    </row>
    <row r="34" spans="16:22">
      <c r="P34">
        <v>5012</v>
      </c>
      <c r="Q34" t="s">
        <v>602</v>
      </c>
      <c r="U34">
        <v>5130</v>
      </c>
      <c r="V34" t="s">
        <v>603</v>
      </c>
    </row>
    <row r="35" spans="16:22">
      <c r="P35">
        <v>5020</v>
      </c>
      <c r="Q35" t="s">
        <v>604</v>
      </c>
      <c r="U35">
        <v>5140</v>
      </c>
      <c r="V35" t="s">
        <v>605</v>
      </c>
    </row>
    <row r="36" spans="16:22">
      <c r="P36">
        <v>5030</v>
      </c>
      <c r="Q36" t="s">
        <v>606</v>
      </c>
      <c r="U36">
        <v>6010</v>
      </c>
      <c r="V36" t="s">
        <v>607</v>
      </c>
    </row>
    <row r="37" spans="16:22">
      <c r="P37">
        <v>5040</v>
      </c>
      <c r="Q37" t="s">
        <v>608</v>
      </c>
      <c r="U37">
        <v>6020</v>
      </c>
      <c r="V37" t="s">
        <v>609</v>
      </c>
    </row>
    <row r="38" spans="16:22">
      <c r="P38">
        <v>5050</v>
      </c>
      <c r="Q38" t="s">
        <v>610</v>
      </c>
      <c r="U38">
        <v>6030</v>
      </c>
      <c r="V38" t="s">
        <v>611</v>
      </c>
    </row>
    <row r="39" spans="16:22">
      <c r="P39">
        <v>6010</v>
      </c>
      <c r="Q39" t="s">
        <v>612</v>
      </c>
      <c r="U39">
        <v>6040</v>
      </c>
      <c r="V39" t="s">
        <v>613</v>
      </c>
    </row>
    <row r="40" spans="16:22">
      <c r="P40">
        <v>6020</v>
      </c>
      <c r="Q40" t="s">
        <v>614</v>
      </c>
      <c r="U40">
        <v>6050</v>
      </c>
      <c r="V40" t="s">
        <v>615</v>
      </c>
    </row>
    <row r="41" spans="16:22">
      <c r="P41">
        <v>6030</v>
      </c>
      <c r="Q41" t="s">
        <v>616</v>
      </c>
      <c r="U41">
        <v>6060</v>
      </c>
      <c r="V41" t="s">
        <v>617</v>
      </c>
    </row>
    <row r="42" spans="16:22">
      <c r="P42">
        <v>6040</v>
      </c>
      <c r="Q42" t="s">
        <v>618</v>
      </c>
      <c r="U42">
        <v>6110</v>
      </c>
      <c r="V42" t="s">
        <v>619</v>
      </c>
    </row>
    <row r="43" spans="16:22">
      <c r="P43">
        <v>6050</v>
      </c>
      <c r="Q43" t="s">
        <v>620</v>
      </c>
      <c r="U43">
        <v>6120</v>
      </c>
      <c r="V43" t="s">
        <v>621</v>
      </c>
    </row>
    <row r="44" spans="16:22">
      <c r="P44">
        <v>6060</v>
      </c>
      <c r="Q44" t="s">
        <v>622</v>
      </c>
      <c r="U44">
        <v>6130</v>
      </c>
      <c r="V44" t="s">
        <v>623</v>
      </c>
    </row>
    <row r="45" spans="16:22">
      <c r="P45">
        <v>6070</v>
      </c>
      <c r="Q45" t="s">
        <v>624</v>
      </c>
      <c r="U45">
        <v>6140</v>
      </c>
      <c r="V45" t="s">
        <v>625</v>
      </c>
    </row>
    <row r="46" spans="16:22">
      <c r="P46">
        <v>6080</v>
      </c>
      <c r="Q46" t="s">
        <v>626</v>
      </c>
      <c r="U46">
        <v>6150</v>
      </c>
      <c r="V46" t="s">
        <v>627</v>
      </c>
    </row>
    <row r="47" spans="16:22">
      <c r="P47">
        <v>6100</v>
      </c>
      <c r="Q47" t="s">
        <v>628</v>
      </c>
      <c r="U47">
        <v>6210</v>
      </c>
      <c r="V47" t="s">
        <v>629</v>
      </c>
    </row>
    <row r="48" spans="16:22">
      <c r="P48">
        <v>6210</v>
      </c>
      <c r="Q48" t="s">
        <v>630</v>
      </c>
      <c r="U48">
        <v>6220</v>
      </c>
      <c r="V48" t="s">
        <v>631</v>
      </c>
    </row>
    <row r="49" spans="16:22">
      <c r="P49">
        <v>6310</v>
      </c>
      <c r="Q49" t="s">
        <v>632</v>
      </c>
      <c r="U49">
        <v>6230</v>
      </c>
      <c r="V49" t="s">
        <v>633</v>
      </c>
    </row>
    <row r="50" spans="16:22">
      <c r="P50">
        <v>7010</v>
      </c>
      <c r="Q50" t="s">
        <v>634</v>
      </c>
      <c r="U50">
        <v>6240</v>
      </c>
      <c r="V50" t="s">
        <v>635</v>
      </c>
    </row>
    <row r="51" spans="16:22">
      <c r="P51">
        <v>7020</v>
      </c>
      <c r="Q51" t="s">
        <v>636</v>
      </c>
      <c r="U51">
        <v>6250</v>
      </c>
      <c r="V51" t="s">
        <v>637</v>
      </c>
    </row>
    <row r="52" spans="16:22">
      <c r="P52">
        <v>8010</v>
      </c>
      <c r="Q52" t="s">
        <v>638</v>
      </c>
      <c r="U52">
        <v>6310</v>
      </c>
      <c r="V52" t="s">
        <v>639</v>
      </c>
    </row>
    <row r="53" spans="16:22">
      <c r="P53">
        <v>8020</v>
      </c>
      <c r="Q53" t="s">
        <v>640</v>
      </c>
      <c r="U53">
        <v>6320</v>
      </c>
      <c r="V53" t="s">
        <v>641</v>
      </c>
    </row>
    <row r="54" spans="16:22">
      <c r="P54">
        <v>9010</v>
      </c>
      <c r="Q54" t="s">
        <v>642</v>
      </c>
      <c r="U54">
        <v>6330</v>
      </c>
      <c r="V54" t="s">
        <v>643</v>
      </c>
    </row>
    <row r="55" spans="16:22">
      <c r="P55">
        <v>10010</v>
      </c>
      <c r="Q55" t="s">
        <v>644</v>
      </c>
      <c r="U55">
        <v>6340</v>
      </c>
      <c r="V55" t="s">
        <v>645</v>
      </c>
    </row>
    <row r="56" spans="16:22">
      <c r="P56">
        <v>11010</v>
      </c>
      <c r="Q56" t="s">
        <v>646</v>
      </c>
      <c r="U56">
        <v>6350</v>
      </c>
      <c r="V56" t="s">
        <v>647</v>
      </c>
    </row>
    <row r="57" spans="16:22">
      <c r="P57">
        <v>12010</v>
      </c>
      <c r="Q57" t="s">
        <v>648</v>
      </c>
      <c r="U57">
        <v>7010</v>
      </c>
      <c r="V57" t="s">
        <v>649</v>
      </c>
    </row>
    <row r="58" spans="16:22">
      <c r="P58">
        <v>13010</v>
      </c>
      <c r="Q58" t="s">
        <v>650</v>
      </c>
      <c r="U58">
        <v>7020</v>
      </c>
      <c r="V58" t="s">
        <v>651</v>
      </c>
    </row>
    <row r="59" spans="21:22">
      <c r="U59">
        <v>7030</v>
      </c>
      <c r="V59" t="s">
        <v>652</v>
      </c>
    </row>
    <row r="60" spans="21:22">
      <c r="U60">
        <v>7040</v>
      </c>
      <c r="V60" t="s">
        <v>653</v>
      </c>
    </row>
    <row r="61" spans="21:22">
      <c r="U61">
        <v>7050</v>
      </c>
      <c r="V61" t="s">
        <v>654</v>
      </c>
    </row>
    <row r="62" spans="21:22">
      <c r="U62">
        <v>7060</v>
      </c>
      <c r="V62" t="s">
        <v>655</v>
      </c>
    </row>
    <row r="63" spans="21:22">
      <c r="U63">
        <v>7070</v>
      </c>
      <c r="V63" t="s">
        <v>656</v>
      </c>
    </row>
    <row r="64" spans="21:22">
      <c r="U64">
        <v>8010</v>
      </c>
      <c r="V64" t="s">
        <v>657</v>
      </c>
    </row>
    <row r="65" spans="21:22">
      <c r="U65">
        <v>8020</v>
      </c>
      <c r="V65" t="s">
        <v>658</v>
      </c>
    </row>
    <row r="66" spans="21:22">
      <c r="U66">
        <v>8030</v>
      </c>
      <c r="V66" t="s">
        <v>659</v>
      </c>
    </row>
    <row r="67" spans="21:22">
      <c r="U67">
        <v>8040</v>
      </c>
      <c r="V67" t="s">
        <v>660</v>
      </c>
    </row>
    <row r="68" spans="21:22">
      <c r="U68">
        <v>8050</v>
      </c>
      <c r="V68" t="s">
        <v>661</v>
      </c>
    </row>
    <row r="69" spans="21:22">
      <c r="U69">
        <v>8060</v>
      </c>
      <c r="V69" t="s">
        <v>662</v>
      </c>
    </row>
    <row r="70" spans="21:22">
      <c r="U70">
        <v>9010</v>
      </c>
      <c r="V70" t="s">
        <v>663</v>
      </c>
    </row>
    <row r="71" spans="21:22">
      <c r="U71">
        <v>9020</v>
      </c>
      <c r="V71" t="s">
        <v>664</v>
      </c>
    </row>
    <row r="72" spans="21:22">
      <c r="U72">
        <v>9030</v>
      </c>
      <c r="V72" t="s">
        <v>665</v>
      </c>
    </row>
    <row r="73" spans="21:22">
      <c r="U73">
        <v>9031</v>
      </c>
      <c r="V73" t="s">
        <v>666</v>
      </c>
    </row>
    <row r="74" spans="21:22">
      <c r="U74">
        <v>9040</v>
      </c>
      <c r="V74" t="s">
        <v>667</v>
      </c>
    </row>
    <row r="75" spans="21:22">
      <c r="U75">
        <v>9110</v>
      </c>
      <c r="V75" t="s">
        <v>668</v>
      </c>
    </row>
    <row r="76" spans="21:22">
      <c r="U76">
        <v>9120</v>
      </c>
      <c r="V76" t="s">
        <v>669</v>
      </c>
    </row>
    <row r="77" spans="21:22">
      <c r="U77">
        <v>10010</v>
      </c>
      <c r="V77" t="s">
        <v>670</v>
      </c>
    </row>
    <row r="78" spans="21:22">
      <c r="U78">
        <v>10020</v>
      </c>
      <c r="V78" t="s">
        <v>671</v>
      </c>
    </row>
    <row r="79" spans="21:22">
      <c r="U79">
        <v>10110</v>
      </c>
      <c r="V79" t="s">
        <v>672</v>
      </c>
    </row>
    <row r="80" spans="21:22">
      <c r="U80">
        <v>11010</v>
      </c>
      <c r="V80" t="s">
        <v>673</v>
      </c>
    </row>
    <row r="81" spans="21:22">
      <c r="U81">
        <v>11020</v>
      </c>
      <c r="V81" t="s">
        <v>674</v>
      </c>
    </row>
    <row r="82" spans="21:22">
      <c r="U82">
        <v>12030</v>
      </c>
      <c r="V82" t="s">
        <v>675</v>
      </c>
    </row>
    <row r="83" spans="21:22">
      <c r="U83">
        <v>12040</v>
      </c>
      <c r="V83" t="s">
        <v>676</v>
      </c>
    </row>
    <row r="84" spans="21:22">
      <c r="U84">
        <v>12041</v>
      </c>
      <c r="V84" t="s">
        <v>677</v>
      </c>
    </row>
    <row r="85" spans="21:22">
      <c r="U85">
        <v>12042</v>
      </c>
      <c r="V85" t="s">
        <v>678</v>
      </c>
    </row>
    <row r="86" spans="21:22">
      <c r="U86">
        <v>12043</v>
      </c>
      <c r="V86" t="s">
        <v>679</v>
      </c>
    </row>
    <row r="87" spans="21:22">
      <c r="U87">
        <v>12050</v>
      </c>
      <c r="V87" t="s">
        <v>680</v>
      </c>
    </row>
    <row r="88" spans="21:22">
      <c r="U88">
        <v>12060</v>
      </c>
      <c r="V88" t="s">
        <v>681</v>
      </c>
    </row>
    <row r="89" spans="21:22">
      <c r="U89">
        <v>12063</v>
      </c>
      <c r="V89" t="s">
        <v>682</v>
      </c>
    </row>
    <row r="90" spans="21:22">
      <c r="U90">
        <v>12066</v>
      </c>
      <c r="V90" t="s">
        <v>683</v>
      </c>
    </row>
    <row r="91" spans="21:22">
      <c r="U91">
        <v>12070</v>
      </c>
      <c r="V91" t="s">
        <v>684</v>
      </c>
    </row>
    <row r="92" spans="21:22">
      <c r="U92">
        <v>12071</v>
      </c>
      <c r="V92" t="s">
        <v>685</v>
      </c>
    </row>
    <row r="93" spans="21:22">
      <c r="U93">
        <v>12082</v>
      </c>
      <c r="V93" t="s">
        <v>686</v>
      </c>
    </row>
    <row r="94" spans="21:22">
      <c r="U94">
        <v>12092</v>
      </c>
      <c r="V94" t="s">
        <v>687</v>
      </c>
    </row>
    <row r="95" spans="21:22">
      <c r="U95">
        <v>13010</v>
      </c>
      <c r="V95" t="s">
        <v>688</v>
      </c>
    </row>
    <row r="96" spans="21:22">
      <c r="U96">
        <v>13020</v>
      </c>
      <c r="V96" t="s">
        <v>689</v>
      </c>
    </row>
    <row r="97" spans="21:22">
      <c r="U97">
        <v>14010</v>
      </c>
      <c r="V97" t="s">
        <v>690</v>
      </c>
    </row>
    <row r="98" spans="21:22">
      <c r="U98">
        <v>14110</v>
      </c>
      <c r="V98" t="s">
        <v>691</v>
      </c>
    </row>
    <row r="99" spans="21:22">
      <c r="U99">
        <v>14210</v>
      </c>
      <c r="V99" t="s">
        <v>692</v>
      </c>
    </row>
    <row r="100" spans="21:22">
      <c r="U100">
        <v>14310</v>
      </c>
      <c r="V100" t="s">
        <v>693</v>
      </c>
    </row>
    <row r="101" spans="21:22">
      <c r="U101">
        <v>14410</v>
      </c>
      <c r="V101" t="s">
        <v>694</v>
      </c>
    </row>
    <row r="102" spans="21:22">
      <c r="U102">
        <v>15010</v>
      </c>
      <c r="V102" t="s">
        <v>695</v>
      </c>
    </row>
    <row r="103" spans="21:22">
      <c r="U103">
        <v>15011</v>
      </c>
      <c r="V103" t="s">
        <v>696</v>
      </c>
    </row>
    <row r="104" spans="21:22">
      <c r="U104">
        <v>15022</v>
      </c>
      <c r="V104" t="s">
        <v>697</v>
      </c>
    </row>
    <row r="105" spans="21:22">
      <c r="U105">
        <v>16010</v>
      </c>
      <c r="V105" t="s">
        <v>698</v>
      </c>
    </row>
    <row r="106" spans="21:22">
      <c r="U106">
        <v>17010</v>
      </c>
      <c r="V106" t="s">
        <v>699</v>
      </c>
    </row>
    <row r="107" spans="21:22">
      <c r="U107">
        <v>17020</v>
      </c>
      <c r="V107" t="s">
        <v>700</v>
      </c>
    </row>
    <row r="108" spans="21:22">
      <c r="U108">
        <v>17030</v>
      </c>
      <c r="V108" t="s">
        <v>701</v>
      </c>
    </row>
    <row r="109" spans="21:22">
      <c r="U109">
        <v>17040</v>
      </c>
      <c r="V109" t="s">
        <v>702</v>
      </c>
    </row>
    <row r="110" spans="21:22">
      <c r="U110">
        <v>17050</v>
      </c>
      <c r="V110" t="s">
        <v>703</v>
      </c>
    </row>
    <row r="111" spans="21:22">
      <c r="U111">
        <v>17060</v>
      </c>
      <c r="V111" t="s">
        <v>704</v>
      </c>
    </row>
    <row r="112" spans="21:22">
      <c r="U112">
        <v>18010</v>
      </c>
      <c r="V112" t="s">
        <v>705</v>
      </c>
    </row>
    <row r="113" spans="21:22">
      <c r="U113">
        <v>18020</v>
      </c>
      <c r="V113" t="s">
        <v>706</v>
      </c>
    </row>
    <row r="114" spans="21:22">
      <c r="U114">
        <v>19010</v>
      </c>
      <c r="V114" t="s">
        <v>707</v>
      </c>
    </row>
    <row r="115" spans="21:22">
      <c r="U115">
        <v>19020</v>
      </c>
      <c r="V115" t="s">
        <v>708</v>
      </c>
    </row>
    <row r="116" spans="21:22">
      <c r="U116">
        <v>20030</v>
      </c>
      <c r="V116" t="s">
        <v>709</v>
      </c>
    </row>
    <row r="117" spans="21:22">
      <c r="U117">
        <v>20040</v>
      </c>
      <c r="V117" t="s">
        <v>710</v>
      </c>
    </row>
    <row r="118" spans="21:22">
      <c r="U118">
        <v>20050</v>
      </c>
      <c r="V118" t="s">
        <v>711</v>
      </c>
    </row>
    <row r="119" spans="21:22">
      <c r="U119">
        <v>20070</v>
      </c>
      <c r="V119" t="s">
        <v>712</v>
      </c>
    </row>
    <row r="120" spans="21:22">
      <c r="U120">
        <v>20071</v>
      </c>
      <c r="V120" t="s">
        <v>713</v>
      </c>
    </row>
    <row r="121" spans="21:22">
      <c r="U121">
        <v>20110</v>
      </c>
      <c r="V121" t="s">
        <v>714</v>
      </c>
    </row>
    <row r="122" spans="21:22">
      <c r="U122">
        <v>20120</v>
      </c>
      <c r="V122" t="s">
        <v>715</v>
      </c>
    </row>
    <row r="123" spans="21:22">
      <c r="U123">
        <v>20130</v>
      </c>
      <c r="V123" t="s">
        <v>716</v>
      </c>
    </row>
    <row r="124" spans="21:22">
      <c r="U124">
        <v>20140</v>
      </c>
      <c r="V124" t="s">
        <v>717</v>
      </c>
    </row>
    <row r="125" spans="21:22">
      <c r="U125">
        <v>20150</v>
      </c>
      <c r="V125" t="s">
        <v>718</v>
      </c>
    </row>
    <row r="126" spans="21:22">
      <c r="U126">
        <v>20160</v>
      </c>
      <c r="V126" t="s">
        <v>719</v>
      </c>
    </row>
    <row r="127" spans="21:22">
      <c r="U127">
        <v>23010</v>
      </c>
      <c r="V127" t="s">
        <v>720</v>
      </c>
    </row>
    <row r="128" spans="21:22">
      <c r="U128">
        <v>30010</v>
      </c>
      <c r="V128" t="s">
        <v>721</v>
      </c>
    </row>
    <row r="129" spans="21:22">
      <c r="U129">
        <v>30020</v>
      </c>
      <c r="V129" t="s">
        <v>722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2024-12-07T03:06:53Z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