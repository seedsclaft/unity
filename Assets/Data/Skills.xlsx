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620" activeTab="1"/>
  </bookViews>
  <sheets>
    <sheet name="Skills" sheetId="1" r:id="rId1"/>
    <sheet name="Features" sheetId="3" r:id="rId2"/>
    <sheet name="Triggers" sheetId="4" r:id="rId3"/>
    <sheet name="ScopeTriggers" sheetId="6" r:id="rId4"/>
    <sheet name="TextData" sheetId="2" r:id="rId5"/>
    <sheet name="Define" sheetId="5" r:id="rId6"/>
  </sheets>
  <externalReferences>
    <externalReference r:id="rId7"/>
  </externalReferences>
  <calcPr calcId="144525" concurrentCalc="0"/>
</workbook>
</file>

<file path=xl/sharedStrings.xml><?xml version="1.0" encoding="utf-8"?>
<sst xmlns="http://schemas.openxmlformats.org/spreadsheetml/2006/main" count="833" uniqueCount="725">
  <si>
    <t>Id</t>
  </si>
  <si>
    <t>NameId</t>
  </si>
  <si>
    <t>Name</t>
  </si>
  <si>
    <t>IconIndex</t>
  </si>
  <si>
    <t>_</t>
  </si>
  <si>
    <t>AnimationId</t>
  </si>
  <si>
    <t>AnimationType</t>
  </si>
  <si>
    <t>CountTurn</t>
  </si>
  <si>
    <t>Rank</t>
  </si>
  <si>
    <t>Attribute</t>
  </si>
  <si>
    <t>SkillType</t>
  </si>
  <si>
    <t>TargetType</t>
  </si>
  <si>
    <t>ScopeType</t>
  </si>
  <si>
    <t>Range</t>
  </si>
  <si>
    <t>RepeatTime</t>
  </si>
  <si>
    <t>AliveOnly</t>
  </si>
  <si>
    <t>TimingOnlyCount</t>
  </si>
  <si>
    <t>拘束ダメージ解除</t>
  </si>
  <si>
    <t>SkillId</t>
  </si>
  <si>
    <t>FeatureType</t>
  </si>
  <si>
    <t>Param1</t>
  </si>
  <si>
    <t>Param2</t>
  </si>
  <si>
    <t>Param3</t>
  </si>
  <si>
    <t>Rate</t>
  </si>
  <si>
    <t>TriggerType</t>
  </si>
  <si>
    <t>TriggerTiming</t>
  </si>
  <si>
    <t>Text</t>
  </si>
  <si>
    <t>Help</t>
  </si>
  <si>
    <t>-</t>
  </si>
  <si>
    <t>""</t>
  </si>
  <si>
    <t>はずす</t>
  </si>
  <si>
    <t>覚醒</t>
  </si>
  <si>
    <t>覚醒状態になる
/s</t>
  </si>
  <si>
    <t>覚醒解除</t>
  </si>
  <si>
    <t>\sの覚醒を解除</t>
  </si>
  <si>
    <t>拘束制御</t>
  </si>
  <si>
    <t>\sにダメージ</t>
  </si>
  <si>
    <t>居合</t>
  </si>
  <si>
    <t>ファイアボール</t>
  </si>
  <si>
    <t>\sにATKx/f[f,0,1]%ダメージ</t>
  </si>
  <si>
    <t>バーンストーム</t>
  </si>
  <si>
    <t>ヒートスタンプ</t>
  </si>
  <si>
    <t>\sのCT-/f[f,0,1]</t>
  </si>
  <si>
    <t>ソードアダプト</t>
  </si>
  <si>
    <t>\sの与ダメージ率を/f[f,0,3]%アップ(永続) 重ね掛け可能</t>
  </si>
  <si>
    <t>フレイムレイン</t>
  </si>
  <si>
    <t>\sにATKx/f[f,0,1]%の5連ダメージ</t>
  </si>
  <si>
    <t>イクスティンクション</t>
  </si>
  <si>
    <t>バーニングソウル</t>
  </si>
  <si>
    <t>\sのデバフ効果を解除</t>
  </si>
  <si>
    <t>レイジングバウンサー</t>
  </si>
  <si>
    <t>次に行動するまで\sの致命攻撃発生率を/f[f,0,3]%アップ
使用後再行動できる</t>
  </si>
  <si>
    <t>ディスチャージ</t>
  </si>
  <si>
    <t>イベイドコード</t>
  </si>
  <si>
    <t>\sに回避率/f[f,0,3]%アップを付与(永続)</t>
  </si>
  <si>
    <t>ショックインパルス</t>
  </si>
  <si>
    <t>\sにATKx/f[f,0,1]%ダメージ
スタン付与
/s</t>
  </si>
  <si>
    <t>トラストチェイン</t>
  </si>
  <si>
    <t>\sの待機時間を/f[f,0,1]短縮する</t>
  </si>
  <si>
    <t>スペルバニシング</t>
  </si>
  <si>
    <t>\sにATKx/f[f,0,1]%ダメージ
対象のバフ効果を解除する</t>
  </si>
  <si>
    <t>アーテニーストライク</t>
  </si>
  <si>
    <t>\sにATKx150%必中ダメージ
対象を倒した場合CT-2
行動後の待機時間を半分に抑える</t>
  </si>
  <si>
    <t>コンセントレイト</t>
  </si>
  <si>
    <t>次に行動するまで\sの命中と回避を/f[f,0,3]%アップ
使用後再行動できる</t>
  </si>
  <si>
    <t>ディレイマジック</t>
  </si>
  <si>
    <t>\sにATKx/f[f,0,1]%ダメージ
\sのCT+/f[f,1,1]</t>
  </si>
  <si>
    <t>アイスブレイド</t>
  </si>
  <si>
    <t>カウンターオーラ</t>
  </si>
  <si>
    <t>\sに/f[f,0,2]ターン/f[f,0,3]%ダメージのカウンタを付与
/s</t>
  </si>
  <si>
    <t>ラインプロテクト</t>
  </si>
  <si>
    <t>\sに/f[f,0,2]ターンDEFを/f[f,0,3]アップ</t>
  </si>
  <si>
    <t>エスコートソール</t>
  </si>
  <si>
    <t>\sに挑発付与
挑発した相手からのダメージを/f[f,0,3]%ダウン
/s</t>
  </si>
  <si>
    <t>ディープフリーズ</t>
  </si>
  <si>
    <t>\sに/f[f,0,3]%ダメージの凍結付与
/s</t>
  </si>
  <si>
    <t>バブルブロウ</t>
  </si>
  <si>
    <t>\sにATKx/f[f,0,1]%ダメージ
DEFを/f[f,1,3]ダウン</t>
  </si>
  <si>
    <t>アクアミラージュ</t>
  </si>
  <si>
    <t>\sに/f[f,0,2]回有効の攻撃無効を付与
/s</t>
  </si>
  <si>
    <t>フロストシールド</t>
  </si>
  <si>
    <t>\sに/f[f,0,2]ターン/f[f,0,3]ダメージまでのシールド付与
/s</t>
  </si>
  <si>
    <t>フリーズランサー</t>
  </si>
  <si>
    <t>\sにATKx/f[f,0,1]%2連ダメージ</t>
  </si>
  <si>
    <t>ウォーターヒール</t>
  </si>
  <si>
    <t>\sのHpを/f[f,0,1]回復</t>
  </si>
  <si>
    <t>セイントレーザー</t>
  </si>
  <si>
    <t>\sにATKx/f[f,0,1]%ダメージ
アンデッドにはさらに2倍ダメージ</t>
  </si>
  <si>
    <t>ペネトレイト</t>
  </si>
  <si>
    <t>対象のパッシブ効果を無視して攻撃 
アンデッドには2倍のダメージ</t>
  </si>
  <si>
    <t>ヒーリング</t>
  </si>
  <si>
    <t>敵味方一人のHpを/f[f,0,1]回復
アンデッドには2倍のダメージ</t>
  </si>
  <si>
    <t>リザイアフォトン</t>
  </si>
  <si>
    <t>\sにATKx/f[f,0,1]%ダメージ
味方全員に攻撃成功回数x/f[f,1,3]のHp回復</t>
  </si>
  <si>
    <t>べネディクション</t>
  </si>
  <si>
    <t>自身以外のHpを/f[f,0,1]回復</t>
  </si>
  <si>
    <t>アクトヒール</t>
  </si>
  <si>
    <t>ホーリーグレイス</t>
  </si>
  <si>
    <t>\sを蘇生してHpを/f[f,0,1]回復</t>
  </si>
  <si>
    <t>キュアエール</t>
  </si>
  <si>
    <t>\sのHpを/f[f,0,1]回復
状態異常を回復</t>
  </si>
  <si>
    <t>ラインバリア</t>
  </si>
  <si>
    <t>1回だけ\sが受けるダメージを/f[f,0,3]%カット</t>
  </si>
  <si>
    <t>ダークプリズン</t>
  </si>
  <si>
    <t>ユーサネイジア</t>
  </si>
  <si>
    <t>ドレインヒール</t>
  </si>
  <si>
    <t>\sにATKx/f[f,0,1]%ダメージ
ダメージの/f[f,0,3]%分Hp回復</t>
  </si>
  <si>
    <t>アビサルデスペア</t>
  </si>
  <si>
    <t>\sにATKx/f[f,0,1]%ダメージ
/f[f,1,2]ターンの不治付与
/s</t>
  </si>
  <si>
    <t>ディプラヴィティ</t>
  </si>
  <si>
    <t>\sにATKx/f[f,0,1]%ダメージ
CT+/f[f,1,1]</t>
  </si>
  <si>
    <t>ランペイジ,パッシブブレイク</t>
  </si>
  <si>
    <t>ダークネス</t>
  </si>
  <si>
    <t>\sに/f[f,0,2]ターン命中率/f[f,0,3]%ダウンを付与</t>
  </si>
  <si>
    <t>シェイディークラウド</t>
  </si>
  <si>
    <t>\sのATKを/f[f,0,3]ダウン</t>
  </si>
  <si>
    <t>ポイズンブロウ</t>
  </si>
  <si>
    <t>\sにATKx/f[f,0,1]%ダメージ
/f[f,1,2]ターン/f[f,1,3]ダメージの毒付与
/s</t>
  </si>
  <si>
    <t>アンデッド</t>
  </si>
  <si>
    <t>(条件)Lv20以上
アンデッド状態になる
行動後自身のHpを/f[f,0,3]%回復する</t>
  </si>
  <si>
    <t>エアリアル</t>
  </si>
  <si>
    <t>(条件)Lv10以上
攻撃範囲が延長する
/s</t>
  </si>
  <si>
    <t>悪魔</t>
  </si>
  <si>
    <t>(条件)Lv10以上
最大AP+/f[f,0,3]</t>
  </si>
  <si>
    <t>クリーチャー</t>
  </si>
  <si>
    <t>(条件)Lv10以上
最大Hpが/f[f,0,3]アップ</t>
  </si>
  <si>
    <t>野生の記憶</t>
  </si>
  <si>
    <t>(条件)Lv10以上
ATKが/f[f,0,3]アップ</t>
  </si>
  <si>
    <t>変異生物</t>
  </si>
  <si>
    <t>(条件)Lv10以上
DEFが/f[f,0,3]アップ</t>
  </si>
  <si>
    <t>ウルフソウル</t>
  </si>
  <si>
    <t>\sのATKが/f[f,0,3]アップ</t>
  </si>
  <si>
    <t>プリディカメント</t>
  </si>
  <si>
    <t>(条件)Hpが25%以下
\sのATKが/f[f,0,3]アップ</t>
  </si>
  <si>
    <t>アサルトシフト</t>
  </si>
  <si>
    <t>(条件)バトル開始時
\sのDEFが/f[f,0,3]ダウンしATKが/f[f,0,3]アップ</t>
  </si>
  <si>
    <t>アクティブギフト</t>
  </si>
  <si>
    <t>(条件)他の味方が攻撃する直前に発動
\sのCT-/f[f,0,1]</t>
  </si>
  <si>
    <t>イグナイテッド</t>
  </si>
  <si>
    <t>(条件)覚醒状態になった時
(制限)バトル中1回まで
\sのCT-/f[f,0,1]</t>
  </si>
  <si>
    <t>ライジングファイア</t>
  </si>
  <si>
    <t>(条件)自身の行動で敵を倒した時
\sのCT-/f[f,0,1]</t>
  </si>
  <si>
    <t>ルージュバック</t>
  </si>
  <si>
    <t>(条件)攻撃を受けた時
\sのATKが/f[f,0,3]アップ
最大5回まで重ね掛け可能</t>
  </si>
  <si>
    <t>パワーエール</t>
  </si>
  <si>
    <t>(条件)他の味方が攻撃する直前に発動
一回だけ\sのATKを/f[f,0,3]アップ</t>
  </si>
  <si>
    <t>スレイプニル</t>
  </si>
  <si>
    <t>(条件)自身が行動する前に発動
一回だけ\sにDEF/f[f,0,3]%無視の貫通を付与
/s</t>
  </si>
  <si>
    <t>エクステンション</t>
  </si>
  <si>
    <t>攻撃範囲が延長する
/s</t>
  </si>
  <si>
    <t>ヘブンリーラック</t>
  </si>
  <si>
    <t>\sの回避率が/f[f,0,3]%アップ</t>
  </si>
  <si>
    <t>スウィフトカレント</t>
  </si>
  <si>
    <t>\sのSPDが/f[f,0,3]アップ</t>
  </si>
  <si>
    <t>イヴェイドオール</t>
  </si>
  <si>
    <t>(条件)バトル開始時
\sの回避率を/f[f,0,3]%アップ(永続)
最大5回まで重ね掛け可能</t>
  </si>
  <si>
    <t>クイックムーブ</t>
  </si>
  <si>
    <t>(条件)バトル開始時
\sの待機時間を/f[f,0,1]減少する</t>
  </si>
  <si>
    <t>チェイスマジック</t>
  </si>
  <si>
    <t>(条件)他の味方が攻撃した際に発動
\sにATKx/f[f,0,1]%ダメージ</t>
  </si>
  <si>
    <t>ソーサリーコネクト</t>
  </si>
  <si>
    <t>(条件)他の味方が攻撃する直前に発動
2ターンの間
\sのATKを/f[f,0,3]アップし自身のATKを/f[f,0,3]ダウン</t>
  </si>
  <si>
    <t>ウィンドライズ</t>
  </si>
  <si>
    <t>(条件)攻撃を回避した時
ATKx/f[f,0,1]%ダメージの反撃する</t>
  </si>
  <si>
    <t>アウトオブオーダー</t>
  </si>
  <si>
    <t>(条件)バトル開始時
自身と同列の味方の待機時間を/f[f,0,1]減少する</t>
  </si>
  <si>
    <t>アーマーコード</t>
  </si>
  <si>
    <t>\sのDEFが/f[f,0,3]アップ</t>
  </si>
  <si>
    <t>クイックバリア</t>
  </si>
  <si>
    <t>(条件)味方が攻撃を受ける直前
対象のダメージを/f[f,0,3]%カット</t>
  </si>
  <si>
    <t>クイックキュア</t>
  </si>
  <si>
    <t>(条件)味方が状態異常になった時
\sの状態異常を回復</t>
  </si>
  <si>
    <t>セルフシールド</t>
  </si>
  <si>
    <t>(条件)自身が攻撃を受ける直前
ダメージを/f[f,0,3]%カット</t>
  </si>
  <si>
    <t>パッシブジャミング</t>
  </si>
  <si>
    <t>(条件)相手がバフを付与する直前
\sに/f[f,0,2]ターンのパッシブ封じを付与
/s</t>
  </si>
  <si>
    <t>サプライカバー</t>
  </si>
  <si>
    <t>(条件)味方が攻撃を受ける直前
代わりにダメージを受ける</t>
  </si>
  <si>
    <t>アシッドラッシュ</t>
  </si>
  <si>
    <t>(条件)攻撃成功時33%の確率で
行動待機時間を/f[f,0,1]延長</t>
  </si>
  <si>
    <t>ライフスティール</t>
  </si>
  <si>
    <t>(条件)自身が行動する前に発動
ダメージの/f[f,0,3]%分Hp回復</t>
  </si>
  <si>
    <t>アイスセイバー</t>
  </si>
  <si>
    <t>(条件)自身の攻撃成功時
凍結状態ではない対象に/f[f,0,3]%ダメージの凍結付与
/s</t>
  </si>
  <si>
    <t>ディバインシールド</t>
  </si>
  <si>
    <t>(制限)バトル中/f[f,0,2]回まで
状態異常を回避する
/s</t>
  </si>
  <si>
    <t>ライフディバイド</t>
  </si>
  <si>
    <t>(条件)味方が攻撃を受けた際に発動
(制限)自身のHpの25%分まで
\sにHpを分け与える</t>
  </si>
  <si>
    <t>エイミングスコープ</t>
  </si>
  <si>
    <t>\sの命中率が/f[f,0,3]%アップ
最大5回まで重ね掛け可能</t>
  </si>
  <si>
    <t>リジェネレーション</t>
  </si>
  <si>
    <t>行動後自身のHpを/f[f,0,3]回復する</t>
  </si>
  <si>
    <t>ホープフルアイリス</t>
  </si>
  <si>
    <t>\sの最大Hpが/f[f,0,3]アップ</t>
  </si>
  <si>
    <t>パッシブサプライ</t>
  </si>
  <si>
    <t>(条件)味方からPassiveを受けた際に発動
(制限)ターン中1回まで
\sのCT-/f[f,0,1]</t>
  </si>
  <si>
    <t>ホーミングクルセイド</t>
  </si>
  <si>
    <t>(制限)バトル中/f[f,0,2]回まで
命中判定を無視して効果を発揮する
/s</t>
  </si>
  <si>
    <t>クイックヒール</t>
  </si>
  <si>
    <t>(条件)味方が攻撃を受けた際に発動
対象のHpを/f[f,0,1]回復</t>
  </si>
  <si>
    <t>リレイズ</t>
  </si>
  <si>
    <t>(条件)攻撃される直前に発動
(制限)バトル中1回まで
一度だけ戦闘不能を回避する
/s</t>
  </si>
  <si>
    <t>タフネス</t>
  </si>
  <si>
    <t>イーグルアイ</t>
  </si>
  <si>
    <t>\sの会心率が/f[f,0,3]%アップ</t>
  </si>
  <si>
    <t>ネヴァーエンド</t>
  </si>
  <si>
    <t>(条件)Hpが25%以下
\sの会心率が/f[f,0,3]%アップ</t>
  </si>
  <si>
    <t>グレイブアクト</t>
  </si>
  <si>
    <t>(条件)味方が攻撃で戦闘不能になった際に発動
\sのCT-/f[f,0,1]</t>
  </si>
  <si>
    <t>スカルグラッジ</t>
  </si>
  <si>
    <t>(条件)Hpが100%以上
/f[f,0,3]%の確率で即死付与
対象がボスの場合は残りHp50%分ダメージ</t>
  </si>
  <si>
    <t>ネガティブドレイン</t>
  </si>
  <si>
    <t>(条件)Hpが50%以下
ダメージの/f[f,0,3]%分Hp回復</t>
  </si>
  <si>
    <t>アンデッドペイン</t>
  </si>
  <si>
    <t>アンデッド状態になる
行動後自身のHpを/f[f,0,3]%回復する</t>
  </si>
  <si>
    <t>ジャックポッド</t>
  </si>
  <si>
    <t>(条件)他の味方が攻撃する直前に発動
\sの命中率を半減し会心率が/f[f,0,3]%アップ</t>
  </si>
  <si>
    <t>チャンス</t>
  </si>
  <si>
    <t>ヒールハント</t>
  </si>
  <si>
    <t>(条件)敵が回復魔法を使用した際に発動
\sでDEF/f[f,0,3]%無視のATKx/f[f,0,1]%ダメージ</t>
  </si>
  <si>
    <t>クイックカース</t>
  </si>
  <si>
    <t>(条件)相手が攻撃する前に発動
\sのATKを/f[f,0,3]%ダウン</t>
  </si>
  <si>
    <t>ウェイトユニゾン</t>
  </si>
  <si>
    <t>味方が次の行動をするまで待機する</t>
  </si>
  <si>
    <t>ソーイングアームド</t>
  </si>
  <si>
    <t>(条件)イクスティンクションを3回使用する
\sにDEF/f[f,0,3]%無視の貫通を付与（永続）
覚醒状態に移行
/s</t>
  </si>
  <si>
    <t>エターナルロンド</t>
  </si>
  <si>
    <t>(条件)覚醒状態
\sにATKx/f[f,0,1]%ダメージ 覚醒解除</t>
  </si>
  <si>
    <t>アブソリュートパリィ</t>
  </si>
  <si>
    <t>(条件)3回攻撃を回避する
\sに3ターン/f[f,0,3]%の回避率アップを付与
覚醒状態に移行</t>
  </si>
  <si>
    <t>レヴェリー</t>
  </si>
  <si>
    <t>(条件)覚醒状態
\sにATKx/f[f,0,1]%の7連ダメージ 覚醒解除</t>
  </si>
  <si>
    <t>セイクリッドバリア</t>
  </si>
  <si>
    <t>(条件)バトル中攻撃を5回受ける
\sに/f[f,0,2]回有効の攻撃無効を付与
覚醒状態に移行
/s</t>
  </si>
  <si>
    <t>リベンジニードル</t>
  </si>
  <si>
    <t>(条件)覚醒状態
\sに被ダメージ合計分のダメージ 覚醒解除</t>
  </si>
  <si>
    <t>アバンデンス</t>
  </si>
  <si>
    <t>(条件)自分以外が戦闘不能になる
\sを蘇生しHpを/f[f,1,1]回復
覚醒状態に移行</t>
  </si>
  <si>
    <t>ハーヴェスト</t>
  </si>
  <si>
    <t>(条件)覚醒状態
/f[f,0,3]回復のリジェネ付与(永続)
覚醒解除
/s</t>
  </si>
  <si>
    <t>カースドブレイク</t>
  </si>
  <si>
    <t>(条件)自身が戦闘不能になる攻撃を受ける前
\sに呪詛を付与
覚醒状態に移行
/s</t>
  </si>
  <si>
    <t>ムーンライトレイ</t>
  </si>
  <si>
    <t>(条件)覚醒状態
/f[f,0,2]ターン/f[f,0,3]ダメージの毒付与
覚醒解除
/s</t>
  </si>
  <si>
    <t>サンフレイム</t>
  </si>
  <si>
    <t>(条件)バトル中2回覚醒魔法が発動した後
自身と両隣の味方のCT-5
覚醒状態に移行</t>
  </si>
  <si>
    <t>フレイムタン</t>
  </si>
  <si>
    <t>(条件)覚醒状態
\sにATKx/f[f,0,1]%ダメージ 覚醒解除
\sのCT+2</t>
  </si>
  <si>
    <t>ライズザフラッグ</t>
  </si>
  <si>
    <t>(条件)自分の攻撃で敵を倒す
\sに/f[f,0,2]ターンのフォロー付与
覚醒状態に移行
/s</t>
  </si>
  <si>
    <t>オーバーリミット</t>
  </si>
  <si>
    <t>(条件)覚醒状態
\sのATKとDEFを/f[f,0,3]アップ（永続）</t>
  </si>
  <si>
    <t>テンパランス</t>
  </si>
  <si>
    <t>(条件)自身が10回行動した後
\sのATKとDEFを/f[f,0,3]アップ(永続)
覚醒状態に移行</t>
  </si>
  <si>
    <t>シエルクルセイダー</t>
  </si>
  <si>
    <t>バーニングカウンター</t>
  </si>
  <si>
    <t>(条件)味方が戦闘不能になる
最後に攻撃した対象にATKx/f[f,0,1]%ダメージ
覚醒状態に移行</t>
  </si>
  <si>
    <t>プロミネンス</t>
  </si>
  <si>
    <t>(条件)覚醒状態
味方全体に致命攻撃発生率を30%アップ(永続)
\sにATKx/f[f,0,1]%ダメージ 覚醒解除</t>
  </si>
  <si>
    <t>エウロス</t>
  </si>
  <si>
    <t>(条件)自身が状態異常を受けた際
\sに状態異常を反射しバフを1つ奪い取る
覚醒状態に移行</t>
  </si>
  <si>
    <t>ボレアス</t>
  </si>
  <si>
    <t>アバランシュ</t>
  </si>
  <si>
    <t>(条件)敵全員が凍結状態になる
\sの凍結ダメージ効果を/f[f,0,3]%にする
覚醒状態に移行</t>
  </si>
  <si>
    <t>ブリザードコフィン</t>
  </si>
  <si>
    <t>(条件)覚醒状態
\sにATKx/f[f,0,1]%ダメージ 覚醒解除
凍結状態の対象にはさらにATKx/f[f,0,2]%ダメージ</t>
  </si>
  <si>
    <t>マイトレインフォース</t>
  </si>
  <si>
    <t>(条件)自身以外が戦闘不能になる
\sのATKを/f[f,0,3]アップ(永続) 覚醒状態に移行</t>
  </si>
  <si>
    <t>カタストロフィ</t>
  </si>
  <si>
    <t>悪魔(ベリト)</t>
  </si>
  <si>
    <t>(条件)Hpが25%未満
\sのATKを/f[f,0,3]アップ(永続)</t>
  </si>
  <si>
    <t>プルガシオン</t>
  </si>
  <si>
    <t>(条件)自身のHpが50%以下
\sに/f[f,0,2]ターンの/f[f,0,3]回復のリジェネ付与
覚醒状態に移行
/s</t>
  </si>
  <si>
    <t>プリエステス</t>
  </si>
  <si>
    <t>(条件)覚醒状態
\sに/f[f,0,3]%反射ダメージのカウンタを付与(永続)
覚醒解除
/s</t>
  </si>
  <si>
    <t>悪魔(パイモン)</t>
  </si>
  <si>
    <t>攻撃範囲が列になる(永続)
攻撃範囲が延長する(永続)</t>
  </si>
  <si>
    <t>コウソクテンショウ</t>
  </si>
  <si>
    <t>(条件)自身のHpが40%以下
\sにATKx/f[f,0,1]%ダメージ 覚醒状態に移行
自身にダメージの25%分Hp回復ドレインを付与
/s</t>
  </si>
  <si>
    <t>(条件)自身のHpが40%以下
\sにATKx/f[f,0,3]%ダメージ 覚醒状態に移行
自身に25%分Hp回復ドレインを付与(永続)
/s</t>
  </si>
  <si>
    <t>アンチバフ</t>
  </si>
  <si>
    <t>(条件)覚醒状態
\sにバフ解除
覚醒解除</t>
  </si>
  <si>
    <t>悪魔(アンドラス)</t>
  </si>
  <si>
    <t>ディスチャージの攻撃回数が/f[f,0,3]回になる</t>
  </si>
  <si>
    <t>カウントダウン</t>
  </si>
  <si>
    <t>(条件)総ターン数が100を超える
\sに/f[f,0,2]回有効の攻撃無効を付与
覚醒状態に移行
/s</t>
  </si>
  <si>
    <t>グラウンドゼロ</t>
  </si>
  <si>
    <t>(条件)覚醒状態
必中で\sに戦闘不能を付与
覚醒解除</t>
  </si>
  <si>
    <t>悪魔(ビフロンス)</t>
  </si>
  <si>
    <t>(条件)自身のHpが50%以下
\sに/f[f,0,2]ターン/f[f,0,3]ダメージまでのシールド付与
/s</t>
  </si>
  <si>
    <t>カオスペイン</t>
  </si>
  <si>
    <t>(条件)自身のHpが25%以下
/f[f,0,2]ターン/f[f,0,3]ダメージの毒付与
覚醒状態に移行
/s</t>
  </si>
  <si>
    <t>フォールンワン</t>
  </si>
  <si>
    <t>(条件)覚醒状態
必中で\sのHpを1にする
覚醒解除</t>
  </si>
  <si>
    <t>アンリマユ</t>
  </si>
  <si>
    <t>(条件)バトル開始時
\sに/f[f,0,2]回有効の攻撃無効を付与
/s</t>
  </si>
  <si>
    <t>ライフブースト</t>
  </si>
  <si>
    <t>(条件)バトル開始時
\sの最大Hｐを/f[f,0,3]アップ(永続)</t>
  </si>
  <si>
    <t>スピリットチャージ</t>
  </si>
  <si>
    <t>(条件)自身が最初にActive魔法を発動した時
発動した魔法のCT-/f[f,0,1]</t>
  </si>
  <si>
    <t>フォースライズ</t>
  </si>
  <si>
    <t>(条件)バトル開始時
\sのATKを/f[f,0,3]アップ(永続)</t>
  </si>
  <si>
    <t>ディフェンスオーラ</t>
  </si>
  <si>
    <t>(条件)バトル開始時
\sのDEFを/f[f,0,3]アップ(永続)</t>
  </si>
  <si>
    <t>ラピッドムーブ</t>
  </si>
  <si>
    <t>(条件)バトル開始時
\sのSPDを/f[f,0,3]アップ(永続)</t>
  </si>
  <si>
    <t>アタックブレイク</t>
  </si>
  <si>
    <t>(条件)バトル開始時
\sのATKを/f[f,0,3]ダウン(永続)</t>
  </si>
  <si>
    <t>シールドバニッシュ</t>
  </si>
  <si>
    <t>(条件)バトル開始時
\sのDEFを/f[f,0,3]ダウン(永続)</t>
  </si>
  <si>
    <t>エーテルリチャージ</t>
  </si>
  <si>
    <t>(条件)3回行動する毎に
自身のCT-/f[f,0,1]</t>
  </si>
  <si>
    <t>リカバリーエンハンス</t>
  </si>
  <si>
    <t>(条件)Hp回復する効果を受けるとき
\sのHp回復量を/f[f,0,3]アップ(永続)</t>
  </si>
  <si>
    <t>ヴェンジェンス</t>
  </si>
  <si>
    <t>(条件)バトル開始時
/f[f,0,3]%ダメージのカウンタを付与(永続)
/s</t>
  </si>
  <si>
    <t>ディケイドリセット</t>
  </si>
  <si>
    <t>(条件)10回目の行動後
1回だけ再行動できる</t>
  </si>
  <si>
    <t>ウォーリアーブラッド</t>
  </si>
  <si>
    <t>(条件)自身の行動で敵を倒した時
\sのATKを/f[f,0,3]アップ(永続)</t>
  </si>
  <si>
    <t>トライアングルガード</t>
  </si>
  <si>
    <t>(条件)3回行動する毎に
1回だけ\sの受けるダメージを/f[f,0,3]ダウン</t>
  </si>
  <si>
    <t>セーフティバリア</t>
  </si>
  <si>
    <t>(条件)2回目の行動後
(制限)バトル中1回
\sに/f[f,0,2]回有効の攻撃無効を付与
/s</t>
  </si>
  <si>
    <t>ヒロインズハイ</t>
  </si>
  <si>
    <t>(条件)ステージのボスとバトルする時
\sの最大Hｐを/f[f,0,3]アップ(永続)</t>
  </si>
  <si>
    <t>セカンドステージ</t>
  </si>
  <si>
    <t>(条件)戦闘不能になった時
(制限)バトル中1回
\sを蘇生しHpを/f[f,0,1]回復する</t>
  </si>
  <si>
    <t>ハイヒットポイント</t>
  </si>
  <si>
    <t>セプタブラスト</t>
  </si>
  <si>
    <t>(条件)7回目の行動後
(制限)バトル中1回
追撃で\sに/f[f,0,1]ダメージ</t>
  </si>
  <si>
    <t>イニシャルブロッカー</t>
  </si>
  <si>
    <t>(条件)バトル開始時
\sに/f[f,0,2]ターン/f[f,0,3]ダメージまでのシールド付与
/s</t>
  </si>
  <si>
    <t>ファーストテイク</t>
  </si>
  <si>
    <t>ファイアボール+</t>
  </si>
  <si>
    <t>/nのダメージがATKx/f[f,0,3]%になる</t>
  </si>
  <si>
    <t>バーンストーム+</t>
  </si>
  <si>
    <t>ヒートスタンプ+</t>
  </si>
  <si>
    <t>/nのCT減少値が/f[f,0,3]になる</t>
  </si>
  <si>
    <t>ソードアダプト+</t>
  </si>
  <si>
    <t>/nの与ダメージ率をアップ値が/f[f,0,3]になる</t>
  </si>
  <si>
    <t>フレイムレイン+</t>
  </si>
  <si>
    <t>イクスティンクション+</t>
  </si>
  <si>
    <t>バーニングソウル+</t>
  </si>
  <si>
    <t>/nのCTリセット値が/f[f,0,3]になる</t>
  </si>
  <si>
    <t>レイジングバウンサー+</t>
  </si>
  <si>
    <t>/nの致命攻撃発生アップ率が/f[f,0,3]%になる</t>
  </si>
  <si>
    <t>ディスチャージ+</t>
  </si>
  <si>
    <t>イベイドコード+</t>
  </si>
  <si>
    <t>/nの回避率アップ値が/f[f,0,3]になる</t>
  </si>
  <si>
    <t>ショックインパルス+</t>
  </si>
  <si>
    <t>トラストチェイン+</t>
  </si>
  <si>
    <t>/nの待機時間短縮値が/f[f,0,3]になる</t>
  </si>
  <si>
    <t>スペルバニシング+</t>
  </si>
  <si>
    <t>アーテニーストライク+</t>
  </si>
  <si>
    <t>コンセントレイト+</t>
  </si>
  <si>
    <t>/nの命中率アップ値が/f[f,0,3]%になる</t>
  </si>
  <si>
    <t>ディレイマジック+</t>
  </si>
  <si>
    <t>/nのCT+値が/f[f,0,3]になる</t>
  </si>
  <si>
    <t>アイスブレイド+</t>
  </si>
  <si>
    <t>カウンターオーラ+</t>
  </si>
  <si>
    <t>/nのカウンタダメージ率が/f[f,0,3]%になる</t>
  </si>
  <si>
    <t>ラインプロテクト+</t>
  </si>
  <si>
    <t>/nのDEFアップ値が/f[f,0,3]になる</t>
  </si>
  <si>
    <t>エスコートソール+</t>
  </si>
  <si>
    <t>/nのダメージカット値が/f[f,0,3]%になる</t>
  </si>
  <si>
    <t>ディープフリーズ+</t>
  </si>
  <si>
    <t>/nの凍結ダメージ率が/f[f,0,3]%になる</t>
  </si>
  <si>
    <t>バブルブロウ+</t>
  </si>
  <si>
    <t>/nのDEFダウン値が/f[f,0,3]になる</t>
  </si>
  <si>
    <t>アクアミラージュ+</t>
  </si>
  <si>
    <t>/nの攻撃無効回数が/f[f,0,3]回になる</t>
  </si>
  <si>
    <t>フロストシールド+</t>
  </si>
  <si>
    <t>/nのダメージ無効値が/f[f,0,3]までになる</t>
  </si>
  <si>
    <t>セイントレーザー+</t>
  </si>
  <si>
    <t>ペネトレイト+</t>
  </si>
  <si>
    <t>ヒーリング+</t>
  </si>
  <si>
    <t>/nの対象が選択対象の両隣まで拡張する</t>
  </si>
  <si>
    <t>リザイアフォトン+</t>
  </si>
  <si>
    <t>/nのHp回復値が/f[f,0,3]%になる</t>
  </si>
  <si>
    <t>べネディクション+</t>
  </si>
  <si>
    <t>/nのCT-値が/f[f,0,3]になる</t>
  </si>
  <si>
    <t>ホーリーグレイス+</t>
  </si>
  <si>
    <t>キュアエール+</t>
  </si>
  <si>
    <t>/nのHp回復値が/f[f,0,3]になる</t>
  </si>
  <si>
    <t>ラインバリア+</t>
  </si>
  <si>
    <t>ダークプリズン+</t>
  </si>
  <si>
    <t>ユーサネイジア+</t>
  </si>
  <si>
    <t>ドレインヒール+</t>
  </si>
  <si>
    <t>アビサルデスペア+</t>
  </si>
  <si>
    <t>/nの不死ターン数が/f[f,0,3]になる</t>
  </si>
  <si>
    <t>ディプラヴィティ+</t>
  </si>
  <si>
    <t>ダークネス+</t>
  </si>
  <si>
    <t>/nの命中率ダウン値が/f[f,0,3]%になる</t>
  </si>
  <si>
    <t>シェイディークラウド+</t>
  </si>
  <si>
    <t>/nのATKダウン値が/f[f,0,3]になる</t>
  </si>
  <si>
    <t>ポイズンブロウ+</t>
  </si>
  <si>
    <t>/nの毒ダメージが/f[f,0,3]になる</t>
  </si>
  <si>
    <t>ウルフソウル+</t>
  </si>
  <si>
    <t>/nのATKアップ値が/f[f,0,3]になる</t>
  </si>
  <si>
    <t>プリディカメント+</t>
  </si>
  <si>
    <t>アサルトシフト+</t>
  </si>
  <si>
    <t>/nのATKアップ値DEFダウン値が/f[f,0,3]になる</t>
  </si>
  <si>
    <t>アクティブギフト+</t>
  </si>
  <si>
    <t>イグナイテッド+</t>
  </si>
  <si>
    <t>ライジングファイア+</t>
  </si>
  <si>
    <t>ルージュバック+</t>
  </si>
  <si>
    <t>パワーエール+</t>
  </si>
  <si>
    <t>スレイプニル+</t>
  </si>
  <si>
    <t>/nの貫通効果値が/f[f,0,3]になる</t>
  </si>
  <si>
    <t>エクステンション+</t>
  </si>
  <si>
    <t>/nの対象範囲が自身と両隣になる</t>
  </si>
  <si>
    <t>ヘブンリーラック+</t>
  </si>
  <si>
    <t>スウィフトカレント+</t>
  </si>
  <si>
    <t>/nのSPDアップ値が/f[f,0,3]になる</t>
  </si>
  <si>
    <t>イヴェイドオール+</t>
  </si>
  <si>
    <t>/nの回避率アップ値が/f[f,0,3]%になる</t>
  </si>
  <si>
    <t>クイックムーブ+</t>
  </si>
  <si>
    <t>チェイスマジック+</t>
  </si>
  <si>
    <t>ソーサリーコネクト+</t>
  </si>
  <si>
    <t>ウィンドライズ+</t>
  </si>
  <si>
    <t>アウトオブオーダー+</t>
  </si>
  <si>
    <t>/nの待機時間ダウン値が/f[f,0,3]になる</t>
  </si>
  <si>
    <t>アーマーコード+</t>
  </si>
  <si>
    <t>クイックバリア+</t>
  </si>
  <si>
    <t>クイックキュア+</t>
  </si>
  <si>
    <t>セルフシールド+</t>
  </si>
  <si>
    <t>パッシブジャミング+</t>
  </si>
  <si>
    <t>サプライカバー+</t>
  </si>
  <si>
    <t>アシッドラッシュ+</t>
  </si>
  <si>
    <t>/nの待機時間延長値が/f[f,0,3]になる</t>
  </si>
  <si>
    <t>ライフスティール+</t>
  </si>
  <si>
    <t>アイスセイバー+</t>
  </si>
  <si>
    <t>/nの凍結ダメージ値が/f[f,0,3]%になる</t>
  </si>
  <si>
    <t>ディバインシールド+</t>
  </si>
  <si>
    <t>/nの状態異常回避数が/f[f,0,3]になる</t>
  </si>
  <si>
    <t>ライフディバイド+</t>
  </si>
  <si>
    <t>/nの最大Hp回復量が/f[f,0,3]になる</t>
  </si>
  <si>
    <t>エイミングスコープ+</t>
  </si>
  <si>
    <t>リジェネレーション+</t>
  </si>
  <si>
    <t>ホープフルアイリス+</t>
  </si>
  <si>
    <t>/nの最大Hpアップ値が/f[f,0,3]になる</t>
  </si>
  <si>
    <t>パッシブサプライ+</t>
  </si>
  <si>
    <t>ホーミングクルセイド+</t>
  </si>
  <si>
    <t>/nの効果発動回数が/f[f,0,3]になる</t>
  </si>
  <si>
    <t>クイックヒール+</t>
  </si>
  <si>
    <t>リレイズ+</t>
  </si>
  <si>
    <t>イーグルアイ+</t>
  </si>
  <si>
    <t>/nの会心率アップ値が/f[f,0,3]%になる</t>
  </si>
  <si>
    <t>ネヴァーエンド+</t>
  </si>
  <si>
    <t>グレイブアクト+</t>
  </si>
  <si>
    <t>スカルグラッジ+</t>
  </si>
  <si>
    <t>/nの即死成功確率が/f[f,0,3]%になる</t>
  </si>
  <si>
    <t>ネガティブドレイン+</t>
  </si>
  <si>
    <t>アンデッドペイン+</t>
  </si>
  <si>
    <t>ジャックポッド+</t>
  </si>
  <si>
    <t>ヒールハント+</t>
  </si>
  <si>
    <t>/nのDEF無視値が/f[f,0,3]%になる</t>
  </si>
  <si>
    <t>クイックカース+</t>
  </si>
  <si>
    <t>/nのATKダウン値が/f[f,0,3]%になる</t>
  </si>
  <si>
    <t>Scope</t>
  </si>
  <si>
    <t>Feature</t>
  </si>
  <si>
    <t>State</t>
  </si>
  <si>
    <t>Trigger</t>
  </si>
  <si>
    <t>MagicType</t>
  </si>
  <si>
    <t>なし</t>
  </si>
  <si>
    <t>ない</t>
  </si>
  <si>
    <t>Numinous加算</t>
  </si>
  <si>
    <t>単体</t>
  </si>
  <si>
    <t>炎</t>
  </si>
  <si>
    <t>魔法</t>
  </si>
  <si>
    <t>相手</t>
  </si>
  <si>
    <t>Hpダメージ</t>
  </si>
  <si>
    <t>自身のHpが〇%以下</t>
  </si>
  <si>
    <t>元素</t>
  </si>
  <si>
    <t>使ったとき</t>
  </si>
  <si>
    <t>Numinouse消費率</t>
  </si>
  <si>
    <t>列</t>
  </si>
  <si>
    <t>雷</t>
  </si>
  <si>
    <t>パッシブ</t>
  </si>
  <si>
    <t>味方</t>
  </si>
  <si>
    <t>Hp吸収ダメージ</t>
  </si>
  <si>
    <t>自身のHpが〇%以上</t>
  </si>
  <si>
    <t>光</t>
  </si>
  <si>
    <t>使った後</t>
  </si>
  <si>
    <t>敵Lv</t>
  </si>
  <si>
    <t>全体</t>
  </si>
  <si>
    <t>氷</t>
  </si>
  <si>
    <t>神化</t>
  </si>
  <si>
    <t>全員</t>
  </si>
  <si>
    <t>Hp固定ダメージ</t>
  </si>
  <si>
    <t>Hp%〇以下の味方</t>
  </si>
  <si>
    <t>理術</t>
  </si>
  <si>
    <t>割り込み</t>
  </si>
  <si>
    <t>SP加算</t>
  </si>
  <si>
    <t>自身</t>
  </si>
  <si>
    <t>特定ステートダメージ</t>
  </si>
  <si>
    <t>Hp%〇以上の味方</t>
  </si>
  <si>
    <t>精神</t>
  </si>
  <si>
    <t>バトル開始時</t>
  </si>
  <si>
    <t>隷従属度</t>
  </si>
  <si>
    <t>闇</t>
  </si>
  <si>
    <t>レリック</t>
  </si>
  <si>
    <t>反撃</t>
  </si>
  <si>
    <t>最前列のみ</t>
  </si>
  <si>
    <t>効果無視Hpダメージ</t>
  </si>
  <si>
    <t>Hp%〇以下の敵</t>
  </si>
  <si>
    <t>超次元</t>
  </si>
  <si>
    <t>行動開始前</t>
  </si>
  <si>
    <t>アルカナ変更</t>
  </si>
  <si>
    <t>強化</t>
  </si>
  <si>
    <t>追撃</t>
  </si>
  <si>
    <t>単体・自身を除く</t>
  </si>
  <si>
    <t>Hp割合固定ダメージ</t>
  </si>
  <si>
    <t>Hp%〇以上の敵</t>
  </si>
  <si>
    <t>自己強化</t>
  </si>
  <si>
    <t>Hpが減る</t>
  </si>
  <si>
    <t>ステータスコスト減算</t>
  </si>
  <si>
    <t>アルカナ使用</t>
  </si>
  <si>
    <t>Triggerの条件を満たす</t>
  </si>
  <si>
    <t>列・自身を除く</t>
  </si>
  <si>
    <t>Hpダメージ割合追加ダメージ</t>
  </si>
  <si>
    <t>最もHpが少ない味方</t>
  </si>
  <si>
    <t>工作</t>
  </si>
  <si>
    <t>バトル開始時と行動開始前</t>
  </si>
  <si>
    <t>敵前衛消滅</t>
  </si>
  <si>
    <t>転生</t>
  </si>
  <si>
    <t>パーティ</t>
  </si>
  <si>
    <t>全体・自身を除く</t>
  </si>
  <si>
    <t>Hp犠牲ダメージ</t>
  </si>
  <si>
    <t>最もHpが多い味方</t>
  </si>
  <si>
    <t>半神</t>
  </si>
  <si>
    <t>バトル開始時と使った後</t>
  </si>
  <si>
    <t>撃破SPアップ</t>
  </si>
  <si>
    <t>ランダム</t>
  </si>
  <si>
    <t>受けたダメージ総計ダメージ</t>
  </si>
  <si>
    <t>最もHpが少ない敵</t>
  </si>
  <si>
    <t>自身の行動前</t>
  </si>
  <si>
    <t>属性適性増加</t>
  </si>
  <si>
    <t>単体と両隣</t>
  </si>
  <si>
    <t>Hp貫通ダメージ</t>
  </si>
  <si>
    <t>最もHpが多い敵</t>
  </si>
  <si>
    <t>その他</t>
  </si>
  <si>
    <t>相手の行動前</t>
  </si>
  <si>
    <t>命令不可</t>
  </si>
  <si>
    <t>自分を除いた両隣</t>
  </si>
  <si>
    <t>残りHp比例ダメージ</t>
  </si>
  <si>
    <t>味方にHpが〇%以下がいる</t>
  </si>
  <si>
    <t xml:space="preserve"> </t>
  </si>
  <si>
    <t>味方の行動前</t>
  </si>
  <si>
    <t>コマンドLvアップ</t>
  </si>
  <si>
    <t>Hp回復</t>
  </si>
  <si>
    <t>自身のMpが〇以下</t>
  </si>
  <si>
    <t>かばう専用。割り込みの最優先</t>
  </si>
  <si>
    <t>ステータスアップ</t>
  </si>
  <si>
    <t>自身のHpを1にする</t>
  </si>
  <si>
    <t>自身のMpが〇以上</t>
  </si>
  <si>
    <t>ターン開始前</t>
  </si>
  <si>
    <t>魔法入手</t>
  </si>
  <si>
    <t>対象のHpを1にする</t>
  </si>
  <si>
    <t>Mp〇未満の味方</t>
  </si>
  <si>
    <t>ターン開始後</t>
  </si>
  <si>
    <t>最大HpとMpアップ</t>
  </si>
  <si>
    <t>Hpを分け与える</t>
  </si>
  <si>
    <t>Mp〇以上の味方</t>
  </si>
  <si>
    <t>ターン数アップ</t>
  </si>
  <si>
    <t>与ダメージを味方全体に回復</t>
  </si>
  <si>
    <t>Mp〇未満の敵</t>
  </si>
  <si>
    <t>Lvアップ</t>
  </si>
  <si>
    <t>与ダメージを味方全体にMp回復</t>
  </si>
  <si>
    <t>Mp〇以上の敵</t>
  </si>
  <si>
    <t>習得コスト0</t>
  </si>
  <si>
    <t>攻撃成功で味方全体に回復</t>
  </si>
  <si>
    <t>戦闘不能が〇以上存在する</t>
  </si>
  <si>
    <t>ロスト回避</t>
  </si>
  <si>
    <t>ステート付与</t>
  </si>
  <si>
    <t>生存者が〇以上存在する</t>
  </si>
  <si>
    <t>素子補充確定ボーナス</t>
  </si>
  <si>
    <t>ステート解除</t>
  </si>
  <si>
    <t>自分が前列にいる</t>
  </si>
  <si>
    <t>コマンドコスト0</t>
  </si>
  <si>
    <t>Abnormalステート解除</t>
  </si>
  <si>
    <t>自分が後列にいる</t>
  </si>
  <si>
    <t>属性適正値アップ</t>
  </si>
  <si>
    <t>次の行動まで有効なステート付与</t>
  </si>
  <si>
    <t>前列の味方を狙う</t>
  </si>
  <si>
    <t>バフステート解除</t>
  </si>
  <si>
    <t>後列の味方を狙う</t>
  </si>
  <si>
    <t>デバフステート解除</t>
  </si>
  <si>
    <t>前列の敵を狙う</t>
  </si>
  <si>
    <t>ステートの効果を変更</t>
  </si>
  <si>
    <t>後列の敵を狙う</t>
  </si>
  <si>
    <t>Ctダメージ</t>
  </si>
  <si>
    <t>人数が多い列の味方</t>
  </si>
  <si>
    <t>Ct回復</t>
  </si>
  <si>
    <t>人数が多い列の敵</t>
  </si>
  <si>
    <t>Ct吸収ダメージ</t>
  </si>
  <si>
    <t>人数が少ない列の味方</t>
  </si>
  <si>
    <t>指定魔法のCｔ回復</t>
  </si>
  <si>
    <t>人数が少ない列の敵</t>
  </si>
  <si>
    <t>行動後Ap設定</t>
  </si>
  <si>
    <t>〇人以上いる列の味方</t>
  </si>
  <si>
    <t>行動後ApがParam1割</t>
  </si>
  <si>
    <t>〇人以上いる列の敵</t>
  </si>
  <si>
    <t>ActionResult扱いでAP指定</t>
  </si>
  <si>
    <t>〇番目の味方</t>
  </si>
  <si>
    <t>Ap回復</t>
  </si>
  <si>
    <t>〇番目の敵</t>
  </si>
  <si>
    <t>再行動する</t>
  </si>
  <si>
    <t>StateId状態になっている</t>
  </si>
  <si>
    <t>先制攻撃</t>
  </si>
  <si>
    <t>StateId状態になっていない</t>
  </si>
  <si>
    <t>APダメージ</t>
  </si>
  <si>
    <t>StateId状態になっている味方</t>
  </si>
  <si>
    <t>指定のFeatureのParam1を増やす</t>
  </si>
  <si>
    <t>StateId状態になっている敵</t>
  </si>
  <si>
    <t>指定のFeatureのParam2を増やす</t>
  </si>
  <si>
    <t>StateId状態になっていない味方</t>
  </si>
  <si>
    <t>指定のFeatureのParam3を増やす</t>
  </si>
  <si>
    <t>StateId状態になっていない敵</t>
  </si>
  <si>
    <t>指定のFeatureのParam1をParam3xステージ勝利数増やす</t>
  </si>
  <si>
    <t>AbnormalのStateにかかっている</t>
  </si>
  <si>
    <t>指定のFeatureのParam2をParam3xステージ勝利数増やす</t>
  </si>
  <si>
    <t>AbnormalのStateにかかっている味方</t>
  </si>
  <si>
    <t>指定のFeatureのParam3をParam3xステージ勝利数増やす</t>
  </si>
  <si>
    <t>AbnormalのStateにかかっている敵</t>
  </si>
  <si>
    <t>指定のFeatuerの成功率を増やす</t>
  </si>
  <si>
    <t>AbnormalのStateにかかっていない味方</t>
  </si>
  <si>
    <t>指定魔法のCTリセット値を変更する</t>
  </si>
  <si>
    <t>AbnormalのStateにかかっていない敵</t>
  </si>
  <si>
    <t>指定魔法の攻撃回数を増やす(強化限定)</t>
  </si>
  <si>
    <t>BuffのStateにかかっている</t>
  </si>
  <si>
    <t>指定魔法の対象を変更（強化限定）</t>
  </si>
  <si>
    <t>BuffのStateにかかっている味方</t>
  </si>
  <si>
    <t>指定魔法に行動後スキルを追加する</t>
  </si>
  <si>
    <t>BuffのStateにかかっている敵</t>
  </si>
  <si>
    <t>行動後スキル</t>
  </si>
  <si>
    <t>BuffのStateにかかっていない味方</t>
  </si>
  <si>
    <t>行動後条件付きスキル</t>
  </si>
  <si>
    <t>BuffのStateにかかっていない敵</t>
  </si>
  <si>
    <t>回復特性</t>
  </si>
  <si>
    <t>DeBuffのStateにかかっている</t>
  </si>
  <si>
    <t>アンデッド特攻</t>
  </si>
  <si>
    <t>DeBuffのStateにかかっている味方</t>
  </si>
  <si>
    <t>隊列を入れ替え</t>
  </si>
  <si>
    <t>DeBuffのStateにかかっている敵</t>
  </si>
  <si>
    <t>行動後にAp+</t>
  </si>
  <si>
    <t>DeBuffのStateにかかっていない味方</t>
  </si>
  <si>
    <t>命中判定しない</t>
  </si>
  <si>
    <t>DeBuffのStateにかかっていない敵</t>
  </si>
  <si>
    <t>最後に受けたAbnormalを相手に移す</t>
  </si>
  <si>
    <t>神化発動前</t>
  </si>
  <si>
    <t>対象のバフを奪い取る</t>
  </si>
  <si>
    <t>神化発動後</t>
  </si>
  <si>
    <t>神化発動前の味方</t>
  </si>
  <si>
    <t>神化発動後の味方</t>
  </si>
  <si>
    <t>神化発動前の敵</t>
  </si>
  <si>
    <t>神化発動後の敵</t>
  </si>
  <si>
    <t>神化魔法使用回数の総計</t>
  </si>
  <si>
    <t>味方より敵が多い</t>
  </si>
  <si>
    <t>味方より敵が少ない</t>
  </si>
  <si>
    <t>味方の数が〇以上</t>
  </si>
  <si>
    <t>味方の数が〇以下</t>
  </si>
  <si>
    <t>敵の数が〇以上</t>
  </si>
  <si>
    <t>敵の数が〇以下</t>
  </si>
  <si>
    <t>ターン数が〇以内</t>
  </si>
  <si>
    <t>ターン数が〇</t>
  </si>
  <si>
    <t>ターン数がparam1 x ターン数 + param2</t>
  </si>
  <si>
    <t>行動者のターン数がparam1 x ターン数 + param2</t>
  </si>
  <si>
    <t>全体の行動数がparam1 x 行動数 + param2</t>
  </si>
  <si>
    <t>自身を対象にする</t>
  </si>
  <si>
    <t>自身を対象にしない</t>
  </si>
  <si>
    <t>攻撃成功時〇%で</t>
  </si>
  <si>
    <t>〇%で</t>
  </si>
  <si>
    <t>攻撃成功時相手が凍結ではない</t>
  </si>
  <si>
    <t>バトル中使用回数が〇以下</t>
  </si>
  <si>
    <t>ターン中使用回数が〇以下</t>
  </si>
  <si>
    <t>行動Magicの消費Mpが〇</t>
  </si>
  <si>
    <t>攻撃を受けた対象のHpがParam1%以下 Param2==1で生存判定しない</t>
  </si>
  <si>
    <t>攻撃を受けた対象が戦闘不能になった</t>
  </si>
  <si>
    <t>攻撃を受けた対象がAbnorml状態になった</t>
  </si>
  <si>
    <t>攻撃を受けた対象がバフ状態になった</t>
  </si>
  <si>
    <t>1回の攻撃で〇ダメージ以上受ける</t>
  </si>
  <si>
    <t>味方が攻撃を受ける。Param2で対象指定</t>
  </si>
  <si>
    <t>自身が状態異常を受ける</t>
  </si>
  <si>
    <t>自身がパッシブを受ける</t>
  </si>
  <si>
    <t>味方が行動をする</t>
  </si>
  <si>
    <t>味方が攻撃を成功する</t>
  </si>
  <si>
    <t>相手が回復をする</t>
  </si>
  <si>
    <t>相手が攻撃無効を発揮する</t>
  </si>
  <si>
    <t>〇のKindを持っている味方</t>
  </si>
  <si>
    <t>〇のKindを持っている敵</t>
  </si>
  <si>
    <t>ステータスの高い味方</t>
  </si>
  <si>
    <t>ステータスの低い味方</t>
  </si>
  <si>
    <t>ステータスの高い敵</t>
  </si>
  <si>
    <t>ステータスの低い敵</t>
  </si>
  <si>
    <t>Lvが〇以上</t>
  </si>
  <si>
    <t>自身が攻撃タイプの行動をしようとしている</t>
  </si>
  <si>
    <t>味方が攻撃タイプの行動をしようとしている</t>
  </si>
  <si>
    <t>相手がバフの行動をしようとしている</t>
  </si>
  <si>
    <t>攻撃したのが自身</t>
  </si>
  <si>
    <t>魔法を〇回使用する</t>
  </si>
  <si>
    <t>攻撃を〇回受ける</t>
  </si>
  <si>
    <t>クリティカル攻撃を受ける</t>
  </si>
  <si>
    <t>回避を〇回行う</t>
  </si>
  <si>
    <t>回復効果魔法を〇回行う</t>
  </si>
  <si>
    <t>拘束3回成功</t>
  </si>
  <si>
    <t>自分の味方である</t>
  </si>
  <si>
    <t>自分の敵である</t>
  </si>
  <si>
    <t>自身がParam1=Sconeの攻撃を受けるとき</t>
  </si>
  <si>
    <t>自身がParam1=Kindから攻撃を受けるとき</t>
  </si>
  <si>
    <t>攻撃をした時に相手が戦闘不能になる</t>
  </si>
  <si>
    <t>自分以外が戦闘不能</t>
  </si>
  <si>
    <t>自身が戦闘不能になる</t>
  </si>
  <si>
    <t>敵全員が呪い状態</t>
  </si>
  <si>
    <t>敵全員が凍結状態</t>
  </si>
  <si>
    <t>味方に神化状態が〇以上</t>
  </si>
  <si>
    <t>Demigod魔法の属性が〇の味方が神化する</t>
  </si>
  <si>
    <t>相手が状態異常を発動する</t>
  </si>
  <si>
    <t>自身の攻撃で敵を倒す</t>
  </si>
  <si>
    <t>Demigod魔法の属性が〇</t>
  </si>
  <si>
    <t>自身が戦闘不能になる攻撃を受ける</t>
  </si>
  <si>
    <t>攻撃を回避した時</t>
  </si>
  <si>
    <t>終焉まで〇ターン</t>
  </si>
  <si>
    <t>存在猶予を延長している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</si>
</sst>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.00_-\ ;\-&quot;\&quot;* #,##0.00_-\ ;_-&quot;\&quot;* &quot;-&quot;??_-\ ;_-@_-"/>
    <numFmt numFmtId="43" formatCode="_ * #,##0.00_ ;_ * \-#,##0.00_ ;_ * &quot;-&quot;??_ ;_ @_ 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3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0" borderId="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ill="1">
      <alignment vertical="center"/>
    </xf>
    <xf numFmtId="49" fontId="0" fillId="0" borderId="0" xfId="0" applyNumberForma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t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tes"/>
      <sheetName val="TextData"/>
      <sheetName val="Define"/>
    </sheetNames>
    <sheetDataSet>
      <sheetData sheetId="0"/>
      <sheetData sheetId="1">
        <row r="1">
          <cell r="A1" t="str">
            <v>Id</v>
          </cell>
          <cell r="B1" t="str">
            <v>Text</v>
          </cell>
        </row>
        <row r="2">
          <cell r="A2">
            <v>1</v>
          </cell>
          <cell r="B2" t="str">
            <v>戦闘不能</v>
          </cell>
        </row>
        <row r="3">
          <cell r="A3">
            <v>10</v>
          </cell>
          <cell r="B3" t="str">
            <v>待機</v>
          </cell>
        </row>
        <row r="4">
          <cell r="A4">
            <v>201</v>
          </cell>
          <cell r="B4" t="str">
            <v>炎適正</v>
          </cell>
        </row>
        <row r="5">
          <cell r="A5">
            <v>202</v>
          </cell>
          <cell r="B5" t="str">
            <v>雷適性</v>
          </cell>
        </row>
        <row r="6">
          <cell r="A6">
            <v>203</v>
          </cell>
          <cell r="B6" t="str">
            <v>氷適性</v>
          </cell>
        </row>
        <row r="7">
          <cell r="A7">
            <v>204</v>
          </cell>
          <cell r="B7" t="str">
            <v>光適性</v>
          </cell>
        </row>
        <row r="8">
          <cell r="A8">
            <v>205</v>
          </cell>
          <cell r="B8" t="str">
            <v>闇適性</v>
          </cell>
        </row>
        <row r="9">
          <cell r="A9">
            <v>1010</v>
          </cell>
          <cell r="B9" t="str">
            <v>覚醒</v>
          </cell>
        </row>
        <row r="10">
          <cell r="A10">
            <v>1011</v>
          </cell>
          <cell r="B10" t="str">
            <v>全ステータスアップ</v>
          </cell>
        </row>
        <row r="11">
          <cell r="A11">
            <v>1020</v>
          </cell>
          <cell r="B11" t="str">
            <v>最大Hpアップ</v>
          </cell>
        </row>
        <row r="12">
          <cell r="A12">
            <v>1030</v>
          </cell>
          <cell r="B12" t="str">
            <v>最大Mpアップ</v>
          </cell>
        </row>
        <row r="13">
          <cell r="A13">
            <v>1040</v>
          </cell>
          <cell r="B13" t="str">
            <v>攻撃アップ</v>
          </cell>
        </row>
        <row r="14">
          <cell r="A14">
            <v>1041</v>
          </cell>
          <cell r="B14" t="str">
            <v>攻撃ダウン</v>
          </cell>
        </row>
        <row r="15">
          <cell r="A15">
            <v>1043</v>
          </cell>
          <cell r="B15" t="str">
            <v>攻撃%ダウン</v>
          </cell>
        </row>
        <row r="16">
          <cell r="A16">
            <v>1044</v>
          </cell>
          <cell r="B16" t="str">
            <v>攻撃アップ</v>
          </cell>
        </row>
        <row r="17">
          <cell r="A17">
            <v>1050</v>
          </cell>
          <cell r="B17" t="str">
            <v>防御アップ</v>
          </cell>
        </row>
        <row r="18">
          <cell r="A18">
            <v>1051</v>
          </cell>
          <cell r="B18" t="str">
            <v>防御ダウン</v>
          </cell>
        </row>
        <row r="19">
          <cell r="A19">
            <v>1052</v>
          </cell>
          <cell r="B19" t="str">
            <v>防御ブレイク</v>
          </cell>
        </row>
        <row r="20">
          <cell r="A20">
            <v>1060</v>
          </cell>
          <cell r="B20" t="str">
            <v>速度アップ</v>
          </cell>
        </row>
        <row r="21">
          <cell r="A21">
            <v>1070</v>
          </cell>
          <cell r="B21" t="str">
            <v>会心率アップ</v>
          </cell>
        </row>
        <row r="22">
          <cell r="A22">
            <v>1074</v>
          </cell>
          <cell r="B22" t="str">
            <v>会心ダメージアップ</v>
          </cell>
        </row>
        <row r="23">
          <cell r="A23">
            <v>1080</v>
          </cell>
          <cell r="B23" t="str">
            <v>命中アップ</v>
          </cell>
        </row>
        <row r="24">
          <cell r="A24">
            <v>1081</v>
          </cell>
          <cell r="B24" t="str">
            <v>命中アップ</v>
          </cell>
        </row>
        <row r="25">
          <cell r="A25">
            <v>1082</v>
          </cell>
          <cell r="B25" t="str">
            <v>命中ダウン</v>
          </cell>
        </row>
        <row r="26">
          <cell r="A26">
            <v>1090</v>
          </cell>
          <cell r="B26" t="str">
            <v>回避アップ</v>
          </cell>
        </row>
        <row r="27">
          <cell r="A27">
            <v>1091</v>
          </cell>
          <cell r="B27" t="str">
            <v>回避ダウン</v>
          </cell>
        </row>
        <row r="28">
          <cell r="A28">
            <v>1092</v>
          </cell>
          <cell r="B28" t="str">
            <v>回避アップ</v>
          </cell>
        </row>
        <row r="29">
          <cell r="A29">
            <v>1100</v>
          </cell>
          <cell r="B29" t="str">
            <v>ダメージカット</v>
          </cell>
        </row>
        <row r="30">
          <cell r="A30">
            <v>1101</v>
          </cell>
          <cell r="B30" t="str">
            <v>ダメージカット</v>
          </cell>
        </row>
        <row r="31">
          <cell r="A31">
            <v>2010</v>
          </cell>
          <cell r="B31" t="str">
            <v>毒</v>
          </cell>
        </row>
        <row r="32">
          <cell r="A32">
            <v>2030</v>
          </cell>
          <cell r="B32" t="str">
            <v>カウンタ</v>
          </cell>
        </row>
        <row r="33">
          <cell r="A33">
            <v>2031</v>
          </cell>
          <cell r="B33" t="str">
            <v>CAダメージ</v>
          </cell>
        </row>
        <row r="34">
          <cell r="A34">
            <v>2032</v>
          </cell>
          <cell r="B34" t="str">
            <v>CAシェル</v>
          </cell>
        </row>
        <row r="35">
          <cell r="A35">
            <v>2040</v>
          </cell>
          <cell r="B35" t="str">
            <v>リジェネ</v>
          </cell>
        </row>
        <row r="36">
          <cell r="A36">
            <v>2050</v>
          </cell>
          <cell r="B36" t="str">
            <v>攻撃無効</v>
          </cell>
        </row>
        <row r="37">
          <cell r="A37">
            <v>2060</v>
          </cell>
          <cell r="B37" t="str">
            <v>ドレイン</v>
          </cell>
        </row>
        <row r="38">
          <cell r="A38">
            <v>2070</v>
          </cell>
          <cell r="B38" t="str">
            <v>状態異常CA</v>
          </cell>
        </row>
        <row r="39">
          <cell r="A39">
            <v>2090</v>
          </cell>
          <cell r="B39" t="str">
            <v>パッシブ封じ</v>
          </cell>
        </row>
        <row r="40">
          <cell r="A40">
            <v>2120</v>
          </cell>
          <cell r="B40" t="str">
            <v>デバフ強化</v>
          </cell>
        </row>
        <row r="41">
          <cell r="A41">
            <v>2130</v>
          </cell>
          <cell r="B41" t="str">
            <v>挑発</v>
          </cell>
        </row>
        <row r="42">
          <cell r="A42">
            <v>2140</v>
          </cell>
          <cell r="B42" t="str">
            <v>凍結</v>
          </cell>
        </row>
        <row r="43">
          <cell r="A43">
            <v>2150</v>
          </cell>
          <cell r="B43" t="str">
            <v>スタン</v>
          </cell>
        </row>
        <row r="44">
          <cell r="A44">
            <v>2180</v>
          </cell>
          <cell r="B44" t="str">
            <v>状態異常回避</v>
          </cell>
        </row>
        <row r="45">
          <cell r="A45">
            <v>2190</v>
          </cell>
          <cell r="B45" t="str">
            <v>対象範囲延長</v>
          </cell>
        </row>
        <row r="46">
          <cell r="A46">
            <v>2210</v>
          </cell>
          <cell r="B46" t="str">
            <v>アフターヒール</v>
          </cell>
        </row>
        <row r="47">
          <cell r="A47">
            <v>2220</v>
          </cell>
          <cell r="B47" t="str">
            <v>即死付与</v>
          </cell>
        </row>
        <row r="48">
          <cell r="A48">
            <v>2230</v>
          </cell>
          <cell r="B48" t="str">
            <v>同時回復</v>
          </cell>
        </row>
        <row r="49">
          <cell r="A49">
            <v>2240</v>
          </cell>
          <cell r="B49" t="str">
            <v>必中</v>
          </cell>
        </row>
        <row r="50">
          <cell r="A50">
            <v>2250</v>
          </cell>
          <cell r="B50" t="str">
            <v>アシストヒール</v>
          </cell>
        </row>
        <row r="51">
          <cell r="A51">
            <v>2270</v>
          </cell>
          <cell r="B51" t="str">
            <v>アンデッド</v>
          </cell>
        </row>
        <row r="52">
          <cell r="A52">
            <v>2280</v>
          </cell>
          <cell r="B52" t="str">
            <v>アクセル</v>
          </cell>
        </row>
        <row r="53">
          <cell r="A53">
            <v>2290</v>
          </cell>
          <cell r="B53" t="str">
            <v>ダメージ威力アップ</v>
          </cell>
        </row>
        <row r="54">
          <cell r="A54">
            <v>2320</v>
          </cell>
          <cell r="B54" t="str">
            <v>バフ解除</v>
          </cell>
        </row>
        <row r="55">
          <cell r="A55">
            <v>2330</v>
          </cell>
          <cell r="B55" t="str">
            <v>貫通</v>
          </cell>
        </row>
        <row r="56">
          <cell r="A56">
            <v>2340</v>
          </cell>
          <cell r="B56" t="str">
            <v>対象列化</v>
          </cell>
        </row>
        <row r="57">
          <cell r="A57">
            <v>2341</v>
          </cell>
          <cell r="B57" t="str">
            <v>対象全体化</v>
          </cell>
        </row>
        <row r="58">
          <cell r="A58">
            <v>2350</v>
          </cell>
          <cell r="B58" t="str">
            <v>聖棺</v>
          </cell>
        </row>
        <row r="59">
          <cell r="A59">
            <v>2360</v>
          </cell>
          <cell r="B59" t="str">
            <v>追加ダメージ</v>
          </cell>
        </row>
        <row r="60">
          <cell r="A60">
            <v>2370</v>
          </cell>
          <cell r="B60" t="str">
            <v>追加効果</v>
          </cell>
        </row>
        <row r="61">
          <cell r="A61">
            <v>2380</v>
          </cell>
          <cell r="B61" t="str">
            <v>透明</v>
          </cell>
        </row>
        <row r="62">
          <cell r="A62">
            <v>2390</v>
          </cell>
          <cell r="B62" t="str">
            <v>沈黙</v>
          </cell>
        </row>
        <row r="63">
          <cell r="A63">
            <v>2400</v>
          </cell>
          <cell r="B63" t="str">
            <v>不治</v>
          </cell>
        </row>
        <row r="64">
          <cell r="A64">
            <v>2410</v>
          </cell>
          <cell r="B64" t="str">
            <v>シールド</v>
          </cell>
        </row>
        <row r="65">
          <cell r="A65">
            <v>2420</v>
          </cell>
          <cell r="B65" t="str">
            <v>フォロー</v>
          </cell>
        </row>
        <row r="66">
          <cell r="A66">
            <v>2430</v>
          </cell>
          <cell r="B66" t="str">
            <v>かばう</v>
          </cell>
        </row>
        <row r="67">
          <cell r="A67">
            <v>2440</v>
          </cell>
          <cell r="B67" t="str">
            <v>Ap消費半減</v>
          </cell>
        </row>
        <row r="68">
          <cell r="A68">
            <v>2450</v>
          </cell>
          <cell r="B68" t="str">
            <v>不死</v>
          </cell>
        </row>
        <row r="69">
          <cell r="A69">
            <v>2460</v>
          </cell>
          <cell r="B69" t="str">
            <v>Hp回復効果アップ</v>
          </cell>
        </row>
        <row r="70">
          <cell r="A70">
            <v>2470</v>
          </cell>
          <cell r="B70" t="str">
            <v>呪詛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0"/>
  <sheetViews>
    <sheetView workbookViewId="0">
      <pane ySplit="1" topLeftCell="A23" activePane="bottomLeft" state="frozen"/>
      <selection/>
      <selection pane="bottomLeft" activeCell="A36" sqref="A36"/>
    </sheetView>
  </sheetViews>
  <sheetFormatPr defaultColWidth="9" defaultRowHeight="13"/>
  <cols>
    <col min="1" max="2" width="7.63636363636364" customWidth="1"/>
    <col min="3" max="3" width="19.7272727272727" customWidth="1"/>
    <col min="6" max="6" width="15.0909090909091" customWidth="1"/>
    <col min="7" max="7" width="14.4545454545455" customWidth="1"/>
    <col min="8" max="8" width="5.54545454545455" customWidth="1"/>
    <col min="9" max="10" width="6.63636363636364" customWidth="1"/>
    <col min="11" max="11" width="5.36363636363636" style="6" customWidth="1"/>
    <col min="12" max="12" width="4.90909090909091" style="6" customWidth="1"/>
    <col min="13" max="13" width="4.72727272727273" customWidth="1"/>
    <col min="14" max="14" width="5.54545454545455" customWidth="1"/>
    <col min="15" max="15" width="5.18181818181818" customWidth="1"/>
    <col min="16" max="16" width="22.0909090909091" customWidth="1"/>
    <col min="17" max="17" width="5" customWidth="1"/>
    <col min="18" max="18" width="17.7272727272727" customWidth="1"/>
    <col min="19" max="19" width="6.63636363636364" customWidth="1"/>
    <col min="20" max="20" width="11.8181818181818" customWidth="1"/>
    <col min="21" max="21" width="7.90909090909091" customWidth="1"/>
    <col min="22" max="22" width="9" style="5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9</v>
      </c>
      <c r="L1" t="s">
        <v>4</v>
      </c>
      <c r="M1" t="s">
        <v>10</v>
      </c>
      <c r="N1" t="s">
        <v>4</v>
      </c>
      <c r="O1" t="s">
        <v>11</v>
      </c>
      <c r="P1" t="s">
        <v>4</v>
      </c>
      <c r="Q1" t="s">
        <v>12</v>
      </c>
      <c r="R1" t="s">
        <v>4</v>
      </c>
      <c r="S1" t="s">
        <v>13</v>
      </c>
      <c r="T1" t="s">
        <v>14</v>
      </c>
      <c r="U1" t="s">
        <v>15</v>
      </c>
      <c r="V1" s="5" t="s">
        <v>16</v>
      </c>
    </row>
    <row r="2" spans="1:22">
      <c r="A2">
        <v>0</v>
      </c>
      <c r="B2">
        <v>0</v>
      </c>
      <c r="C2" t="str">
        <f>INDEX(TextData!B:B,MATCH(B2,TextData!A:A))</f>
        <v>-</v>
      </c>
      <c r="D2">
        <v>0</v>
      </c>
      <c r="E2" t="str">
        <f>INDEX(Define!X:X,MATCH(D2,Define!W:W))</f>
        <v>なし</v>
      </c>
      <c r="F2">
        <v>0</v>
      </c>
      <c r="G2">
        <v>0</v>
      </c>
      <c r="H2" t="str">
        <f>INDEX(Define!B:B,MATCH(G2,Define!A:A))</f>
        <v>なし</v>
      </c>
      <c r="I2">
        <v>0</v>
      </c>
      <c r="J2">
        <v>0</v>
      </c>
      <c r="K2">
        <v>0</v>
      </c>
      <c r="L2" t="str">
        <f>INDEX(Define!E:E,MATCH(K2,Define!D:D))</f>
        <v>なし</v>
      </c>
      <c r="M2">
        <v>0</v>
      </c>
      <c r="N2" t="str">
        <f>INDEX(Define!H:H,MATCH(M2,Define!G:G))</f>
        <v>なし</v>
      </c>
      <c r="O2">
        <v>0</v>
      </c>
      <c r="P2" t="str">
        <f>INDEX(Define!K:K,MATCH(O2,Define!J:J))</f>
        <v>なし</v>
      </c>
      <c r="Q2">
        <v>0</v>
      </c>
      <c r="R2" t="str">
        <f>INDEX(Define!N:N,MATCH(Q2,Define!M:M))</f>
        <v>なし</v>
      </c>
      <c r="S2">
        <v>1</v>
      </c>
      <c r="T2">
        <v>1</v>
      </c>
      <c r="U2">
        <v>1</v>
      </c>
      <c r="V2" s="5">
        <v>0</v>
      </c>
    </row>
    <row r="3" spans="1:22">
      <c r="A3">
        <v>1</v>
      </c>
      <c r="B3">
        <v>1</v>
      </c>
      <c r="C3" t="str">
        <f>INDEX(TextData!B:B,MATCH(B3,TextData!A:A))</f>
        <v>はずす</v>
      </c>
      <c r="D3">
        <v>0</v>
      </c>
      <c r="E3" t="str">
        <f>INDEX(Define!X:X,MATCH(D3,Define!W:W))</f>
        <v>なし</v>
      </c>
      <c r="F3">
        <v>0</v>
      </c>
      <c r="G3">
        <v>0</v>
      </c>
      <c r="H3" t="str">
        <f>INDEX(Define!B:B,MATCH(G3,Define!A:A))</f>
        <v>なし</v>
      </c>
      <c r="I3">
        <v>0</v>
      </c>
      <c r="J3">
        <v>0</v>
      </c>
      <c r="K3">
        <v>0</v>
      </c>
      <c r="L3" t="str">
        <f>INDEX(Define!E:E,MATCH(K3,Define!D:D))</f>
        <v>なし</v>
      </c>
      <c r="M3">
        <v>0</v>
      </c>
      <c r="N3" t="str">
        <f>INDEX(Define!H:H,MATCH(M3,Define!G:G))</f>
        <v>なし</v>
      </c>
      <c r="O3">
        <v>0</v>
      </c>
      <c r="P3" t="str">
        <f>INDEX(Define!K:K,MATCH(O3,Define!J:J))</f>
        <v>なし</v>
      </c>
      <c r="Q3">
        <v>0</v>
      </c>
      <c r="R3" t="str">
        <f>INDEX(Define!N:N,MATCH(Q3,Define!M:M))</f>
        <v>なし</v>
      </c>
      <c r="S3">
        <v>1</v>
      </c>
      <c r="T3">
        <v>1</v>
      </c>
      <c r="U3">
        <v>1</v>
      </c>
      <c r="V3" s="5">
        <v>0</v>
      </c>
    </row>
    <row r="4" spans="1:22">
      <c r="A4">
        <v>2</v>
      </c>
      <c r="B4">
        <v>1</v>
      </c>
      <c r="C4" t="str">
        <f>INDEX(TextData!B:B,MATCH(B4,TextData!A:A))</f>
        <v>はずす</v>
      </c>
      <c r="D4">
        <v>1</v>
      </c>
      <c r="E4" t="str">
        <f>INDEX(Define!X:X,MATCH(D4,Define!W:W))</f>
        <v>元素</v>
      </c>
      <c r="F4">
        <v>0</v>
      </c>
      <c r="G4">
        <v>1</v>
      </c>
      <c r="H4" t="str">
        <f>INDEX(Define!B:B,MATCH(G4,Define!A:A))</f>
        <v>単体</v>
      </c>
      <c r="I4">
        <v>0</v>
      </c>
      <c r="J4">
        <v>0</v>
      </c>
      <c r="K4">
        <v>0</v>
      </c>
      <c r="L4" t="str">
        <f>INDEX(Define!E:E,MATCH(K4,Define!D:D))</f>
        <v>なし</v>
      </c>
      <c r="M4">
        <v>1</v>
      </c>
      <c r="N4" t="str">
        <f>INDEX(Define!H:H,MATCH(M4,Define!G:G))</f>
        <v>魔法</v>
      </c>
      <c r="O4">
        <v>1</v>
      </c>
      <c r="P4" t="str">
        <f>INDEX(Define!K:K,MATCH(O4,Define!J:J))</f>
        <v>相手</v>
      </c>
      <c r="Q4">
        <v>1</v>
      </c>
      <c r="R4" t="str">
        <f>INDEX(Define!N:N,MATCH(Q4,Define!M:M))</f>
        <v>単体</v>
      </c>
      <c r="S4">
        <v>2</v>
      </c>
      <c r="T4">
        <v>1</v>
      </c>
      <c r="U4">
        <v>1</v>
      </c>
      <c r="V4" s="5">
        <v>0</v>
      </c>
    </row>
    <row r="5" spans="1:22">
      <c r="A5">
        <v>11</v>
      </c>
      <c r="B5">
        <v>11</v>
      </c>
      <c r="C5" t="str">
        <f>INDEX(TextData!B:B,MATCH(B5,TextData!A:A))</f>
        <v>覚醒</v>
      </c>
      <c r="D5">
        <v>5</v>
      </c>
      <c r="E5" t="str">
        <f>INDEX(Define!X:X,MATCH(D5,Define!W:W))</f>
        <v>超次元</v>
      </c>
      <c r="F5">
        <v>11</v>
      </c>
      <c r="G5">
        <v>1</v>
      </c>
      <c r="H5" t="str">
        <f>INDEX(Define!B:B,MATCH(G5,Define!A:A))</f>
        <v>単体</v>
      </c>
      <c r="I5">
        <v>0</v>
      </c>
      <c r="J5">
        <v>0</v>
      </c>
      <c r="K5">
        <v>0</v>
      </c>
      <c r="L5" t="str">
        <f>INDEX(Define!E:E,MATCH(K5,Define!D:D))</f>
        <v>なし</v>
      </c>
      <c r="M5">
        <v>1</v>
      </c>
      <c r="N5" t="str">
        <f>INDEX(Define!H:H,MATCH(M5,Define!G:G))</f>
        <v>魔法</v>
      </c>
      <c r="O5">
        <v>4</v>
      </c>
      <c r="P5" t="str">
        <f>INDEX(Define!K:K,MATCH(O5,Define!J:J))</f>
        <v>自身</v>
      </c>
      <c r="Q5">
        <v>4</v>
      </c>
      <c r="R5" t="str">
        <f>INDEX(Define!N:N,MATCH(Q5,Define!M:M))</f>
        <v>自身</v>
      </c>
      <c r="S5">
        <v>1</v>
      </c>
      <c r="T5">
        <v>1</v>
      </c>
      <c r="U5">
        <v>1</v>
      </c>
      <c r="V5" s="5">
        <v>0</v>
      </c>
    </row>
    <row r="6" spans="1:22">
      <c r="A6">
        <v>21</v>
      </c>
      <c r="B6">
        <v>21</v>
      </c>
      <c r="C6" t="str">
        <f>INDEX(TextData!B:B,MATCH(B6,TextData!A:A))</f>
        <v>覚醒解除</v>
      </c>
      <c r="D6">
        <v>5</v>
      </c>
      <c r="E6" t="str">
        <f>INDEX(Define!X:X,MATCH(D6,Define!W:W))</f>
        <v>超次元</v>
      </c>
      <c r="F6">
        <v>0</v>
      </c>
      <c r="G6">
        <v>1</v>
      </c>
      <c r="H6" t="str">
        <f>INDEX(Define!B:B,MATCH(G6,Define!A:A))</f>
        <v>単体</v>
      </c>
      <c r="I6">
        <v>0</v>
      </c>
      <c r="J6">
        <v>0</v>
      </c>
      <c r="K6">
        <v>0</v>
      </c>
      <c r="L6" t="str">
        <f>INDEX(Define!E:E,MATCH(K6,Define!D:D))</f>
        <v>なし</v>
      </c>
      <c r="M6">
        <v>1</v>
      </c>
      <c r="N6" t="str">
        <f>INDEX(Define!H:H,MATCH(M6,Define!G:G))</f>
        <v>魔法</v>
      </c>
      <c r="O6">
        <v>4</v>
      </c>
      <c r="P6" t="str">
        <f>INDEX(Define!K:K,MATCH(O6,Define!J:J))</f>
        <v>自身</v>
      </c>
      <c r="Q6">
        <v>4</v>
      </c>
      <c r="R6" t="str">
        <f>INDEX(Define!N:N,MATCH(Q6,Define!M:M))</f>
        <v>自身</v>
      </c>
      <c r="S6">
        <v>1</v>
      </c>
      <c r="T6">
        <v>1</v>
      </c>
      <c r="U6">
        <v>1</v>
      </c>
      <c r="V6" s="5">
        <v>0</v>
      </c>
    </row>
    <row r="7" spans="1:22">
      <c r="A7">
        <v>31</v>
      </c>
      <c r="B7">
        <v>31</v>
      </c>
      <c r="C7" t="str">
        <f>INDEX(TextData!B:B,MATCH(B7,TextData!A:A))</f>
        <v>拘束制御</v>
      </c>
      <c r="D7">
        <v>3</v>
      </c>
      <c r="E7" t="str">
        <f>INDEX(Define!X:X,MATCH(D7,Define!W:W))</f>
        <v>理術</v>
      </c>
      <c r="F7">
        <v>0</v>
      </c>
      <c r="G7">
        <v>1</v>
      </c>
      <c r="H7" t="str">
        <f>INDEX(Define!B:B,MATCH(G7,Define!A:A))</f>
        <v>単体</v>
      </c>
      <c r="I7">
        <v>0</v>
      </c>
      <c r="J7">
        <v>0</v>
      </c>
      <c r="K7">
        <v>2</v>
      </c>
      <c r="L7" t="str">
        <f>INDEX(Define!E:E,MATCH(K7,Define!D:D))</f>
        <v>雷</v>
      </c>
      <c r="M7">
        <v>0</v>
      </c>
      <c r="N7" t="str">
        <f>INDEX(Define!H:H,MATCH(M7,Define!G:G))</f>
        <v>なし</v>
      </c>
      <c r="O7">
        <v>1</v>
      </c>
      <c r="P7" t="str">
        <f>INDEX(Define!K:K,MATCH(O7,Define!J:J))</f>
        <v>相手</v>
      </c>
      <c r="Q7">
        <v>1</v>
      </c>
      <c r="R7" t="str">
        <f>INDEX(Define!N:N,MATCH(Q7,Define!M:M))</f>
        <v>単体</v>
      </c>
      <c r="S7">
        <v>2</v>
      </c>
      <c r="T7">
        <v>1</v>
      </c>
      <c r="U7">
        <v>1</v>
      </c>
      <c r="V7" s="5">
        <v>0</v>
      </c>
    </row>
    <row r="8" spans="1:22">
      <c r="A8">
        <v>32</v>
      </c>
      <c r="B8">
        <v>32</v>
      </c>
      <c r="C8" t="s">
        <v>17</v>
      </c>
      <c r="D8">
        <v>3</v>
      </c>
      <c r="E8" t="str">
        <f>INDEX(Define!X:X,MATCH(D8,Define!W:W))</f>
        <v>理術</v>
      </c>
      <c r="F8">
        <v>0</v>
      </c>
      <c r="G8">
        <v>1</v>
      </c>
      <c r="H8" t="str">
        <f>INDEX(Define!B:B,MATCH(G8,Define!A:A))</f>
        <v>単体</v>
      </c>
      <c r="I8">
        <v>0</v>
      </c>
      <c r="J8">
        <v>0</v>
      </c>
      <c r="K8">
        <v>2</v>
      </c>
      <c r="L8" t="str">
        <f>INDEX(Define!E:E,MATCH(K8,Define!D:D))</f>
        <v>雷</v>
      </c>
      <c r="M8">
        <v>0</v>
      </c>
      <c r="N8" t="str">
        <f>INDEX(Define!H:H,MATCH(M8,Define!G:G))</f>
        <v>なし</v>
      </c>
      <c r="O8">
        <v>4</v>
      </c>
      <c r="P8" t="str">
        <f>INDEX(Define!K:K,MATCH(O8,Define!J:J))</f>
        <v>自身</v>
      </c>
      <c r="Q8">
        <v>4</v>
      </c>
      <c r="R8" t="str">
        <f>INDEX(Define!N:N,MATCH(Q8,Define!M:M))</f>
        <v>自身</v>
      </c>
      <c r="S8">
        <v>1</v>
      </c>
      <c r="T8">
        <v>1</v>
      </c>
      <c r="U8">
        <v>1</v>
      </c>
      <c r="V8" s="5">
        <v>0</v>
      </c>
    </row>
    <row r="9" spans="1:22">
      <c r="A9">
        <v>33</v>
      </c>
      <c r="B9">
        <v>33</v>
      </c>
      <c r="C9" t="str">
        <f>INDEX(TextData!B:B,MATCH(B9,TextData!A:A))</f>
        <v>居合</v>
      </c>
      <c r="D9">
        <v>3</v>
      </c>
      <c r="E9" t="str">
        <f>INDEX(Define!X:X,MATCH(D9,Define!W:W))</f>
        <v>理術</v>
      </c>
      <c r="F9">
        <v>0</v>
      </c>
      <c r="G9">
        <v>1</v>
      </c>
      <c r="H9" t="str">
        <f>INDEX(Define!B:B,MATCH(G9,Define!A:A))</f>
        <v>単体</v>
      </c>
      <c r="I9">
        <v>0</v>
      </c>
      <c r="J9">
        <v>0</v>
      </c>
      <c r="K9">
        <v>2</v>
      </c>
      <c r="L9" t="str">
        <f>INDEX(Define!E:E,MATCH(K9,Define!D:D))</f>
        <v>雷</v>
      </c>
      <c r="M9">
        <v>0</v>
      </c>
      <c r="N9" t="str">
        <f>INDEX(Define!H:H,MATCH(M9,Define!G:G))</f>
        <v>なし</v>
      </c>
      <c r="O9">
        <v>1</v>
      </c>
      <c r="P9" t="str">
        <f>INDEX(Define!K:K,MATCH(O9,Define!J:J))</f>
        <v>相手</v>
      </c>
      <c r="Q9">
        <v>1</v>
      </c>
      <c r="R9" t="str">
        <f>INDEX(Define!N:N,MATCH(Q9,Define!M:M))</f>
        <v>単体</v>
      </c>
      <c r="S9">
        <v>2</v>
      </c>
      <c r="T9">
        <v>1</v>
      </c>
      <c r="U9">
        <v>1</v>
      </c>
      <c r="V9" s="5">
        <v>0</v>
      </c>
    </row>
    <row r="10" spans="1:22">
      <c r="A10">
        <v>1010</v>
      </c>
      <c r="B10">
        <v>1010</v>
      </c>
      <c r="C10" t="str">
        <f>INDEX(TextData!B:B,MATCH(B10,TextData!A:A))</f>
        <v>ファイアボール</v>
      </c>
      <c r="D10">
        <v>1</v>
      </c>
      <c r="E10" t="str">
        <f>INDEX(Define!X:X,MATCH(D10,Define!W:W))</f>
        <v>元素</v>
      </c>
      <c r="F10">
        <v>101</v>
      </c>
      <c r="G10">
        <v>1</v>
      </c>
      <c r="H10" t="str">
        <f>INDEX(Define!B:B,MATCH(G10,Define!A:A))</f>
        <v>単体</v>
      </c>
      <c r="I10">
        <v>0</v>
      </c>
      <c r="J10">
        <v>1</v>
      </c>
      <c r="K10">
        <v>1</v>
      </c>
      <c r="L10" t="str">
        <f>INDEX(Define!E:E,MATCH(K10,Define!D:D))</f>
        <v>炎</v>
      </c>
      <c r="M10">
        <v>1</v>
      </c>
      <c r="N10" t="str">
        <f>INDEX(Define!H:H,MATCH(M10,Define!G:G))</f>
        <v>魔法</v>
      </c>
      <c r="O10">
        <v>1</v>
      </c>
      <c r="P10" t="str">
        <f>INDEX(Define!K:K,MATCH(O10,Define!J:J))</f>
        <v>相手</v>
      </c>
      <c r="Q10">
        <v>1</v>
      </c>
      <c r="R10" t="str">
        <f>INDEX(Define!N:N,MATCH(Q10,Define!M:M))</f>
        <v>単体</v>
      </c>
      <c r="S10">
        <v>1</v>
      </c>
      <c r="T10">
        <v>1</v>
      </c>
      <c r="U10">
        <v>1</v>
      </c>
      <c r="V10" s="5">
        <v>0</v>
      </c>
    </row>
    <row r="11" spans="1:22">
      <c r="A11">
        <v>1020</v>
      </c>
      <c r="B11">
        <v>1020</v>
      </c>
      <c r="C11" t="str">
        <f>INDEX(TextData!B:B,MATCH(B11,TextData!A:A))</f>
        <v>バーンストーム</v>
      </c>
      <c r="D11">
        <v>1</v>
      </c>
      <c r="E11" t="str">
        <f>INDEX(Define!X:X,MATCH(D11,Define!W:W))</f>
        <v>元素</v>
      </c>
      <c r="F11">
        <v>101</v>
      </c>
      <c r="G11">
        <v>2</v>
      </c>
      <c r="H11" t="str">
        <f>INDEX(Define!B:B,MATCH(G11,Define!A:A))</f>
        <v>列</v>
      </c>
      <c r="I11">
        <v>3</v>
      </c>
      <c r="J11">
        <v>2</v>
      </c>
      <c r="K11">
        <v>1</v>
      </c>
      <c r="L11" t="str">
        <f>INDEX(Define!E:E,MATCH(K11,Define!D:D))</f>
        <v>炎</v>
      </c>
      <c r="M11">
        <v>1</v>
      </c>
      <c r="N11" t="str">
        <f>INDEX(Define!H:H,MATCH(M11,Define!G:G))</f>
        <v>魔法</v>
      </c>
      <c r="O11">
        <v>1</v>
      </c>
      <c r="P11" t="str">
        <f>INDEX(Define!K:K,MATCH(O11,Define!J:J))</f>
        <v>相手</v>
      </c>
      <c r="Q11">
        <v>2</v>
      </c>
      <c r="R11" t="str">
        <f>INDEX(Define!N:N,MATCH(Q11,Define!M:M))</f>
        <v>列</v>
      </c>
      <c r="S11">
        <v>1</v>
      </c>
      <c r="T11">
        <v>1</v>
      </c>
      <c r="U11">
        <v>1</v>
      </c>
      <c r="V11" s="5">
        <v>0</v>
      </c>
    </row>
    <row r="12" spans="1:22">
      <c r="A12">
        <v>1030</v>
      </c>
      <c r="B12">
        <v>1030</v>
      </c>
      <c r="C12" t="str">
        <f>INDEX(TextData!B:B,MATCH(B12,TextData!A:A))</f>
        <v>ヒートスタンプ</v>
      </c>
      <c r="D12">
        <v>2</v>
      </c>
      <c r="E12" t="str">
        <f>INDEX(Define!X:X,MATCH(D12,Define!W:W))</f>
        <v>光</v>
      </c>
      <c r="F12">
        <v>21</v>
      </c>
      <c r="G12">
        <v>1</v>
      </c>
      <c r="H12" t="str">
        <f>INDEX(Define!B:B,MATCH(G12,Define!A:A))</f>
        <v>単体</v>
      </c>
      <c r="I12">
        <v>2</v>
      </c>
      <c r="J12">
        <v>2</v>
      </c>
      <c r="K12">
        <v>1</v>
      </c>
      <c r="L12" t="str">
        <f>INDEX(Define!E:E,MATCH(K12,Define!D:D))</f>
        <v>炎</v>
      </c>
      <c r="M12">
        <v>1</v>
      </c>
      <c r="N12" t="str">
        <f>INDEX(Define!H:H,MATCH(M12,Define!G:G))</f>
        <v>魔法</v>
      </c>
      <c r="O12">
        <v>2</v>
      </c>
      <c r="P12" t="str">
        <f>INDEX(Define!K:K,MATCH(O12,Define!J:J))</f>
        <v>味方</v>
      </c>
      <c r="Q12">
        <v>1</v>
      </c>
      <c r="R12" t="str">
        <f>INDEX(Define!N:N,MATCH(Q12,Define!M:M))</f>
        <v>単体</v>
      </c>
      <c r="S12">
        <v>1</v>
      </c>
      <c r="T12">
        <v>1</v>
      </c>
      <c r="U12">
        <v>1</v>
      </c>
      <c r="V12" s="5">
        <v>0</v>
      </c>
    </row>
    <row r="13" spans="1:22">
      <c r="A13">
        <v>1040</v>
      </c>
      <c r="B13">
        <v>1040</v>
      </c>
      <c r="C13" t="str">
        <f>INDEX(TextData!B:B,MATCH(B13,TextData!A:A))</f>
        <v>ソードアダプト</v>
      </c>
      <c r="D13">
        <v>4</v>
      </c>
      <c r="E13" t="str">
        <f>INDEX(Define!X:X,MATCH(D13,Define!W:W))</f>
        <v>精神</v>
      </c>
      <c r="F13">
        <v>51</v>
      </c>
      <c r="G13">
        <v>1</v>
      </c>
      <c r="H13" t="str">
        <f>INDEX(Define!B:B,MATCH(G13,Define!A:A))</f>
        <v>単体</v>
      </c>
      <c r="I13">
        <v>3</v>
      </c>
      <c r="J13">
        <v>2</v>
      </c>
      <c r="K13">
        <v>1</v>
      </c>
      <c r="L13" t="str">
        <f>INDEX(Define!E:E,MATCH(K13,Define!D:D))</f>
        <v>炎</v>
      </c>
      <c r="M13">
        <v>1</v>
      </c>
      <c r="N13" t="str">
        <f>INDEX(Define!H:H,MATCH(M13,Define!G:G))</f>
        <v>魔法</v>
      </c>
      <c r="O13">
        <v>4</v>
      </c>
      <c r="P13" t="str">
        <f>INDEX(Define!K:K,MATCH(O13,Define!J:J))</f>
        <v>自身</v>
      </c>
      <c r="Q13">
        <v>4</v>
      </c>
      <c r="R13" t="str">
        <f>INDEX(Define!N:N,MATCH(Q13,Define!M:M))</f>
        <v>自身</v>
      </c>
      <c r="S13">
        <v>1</v>
      </c>
      <c r="T13">
        <v>1</v>
      </c>
      <c r="U13">
        <v>1</v>
      </c>
      <c r="V13" s="5">
        <v>0</v>
      </c>
    </row>
    <row r="14" ht="12" customHeight="1" spans="1:22">
      <c r="A14">
        <v>1050</v>
      </c>
      <c r="B14">
        <v>1050</v>
      </c>
      <c r="C14" t="str">
        <f>INDEX(TextData!B:B,MATCH(B14,TextData!A:A))</f>
        <v>フレイムレイン</v>
      </c>
      <c r="D14">
        <v>1</v>
      </c>
      <c r="E14" t="str">
        <f>INDEX(Define!X:X,MATCH(D14,Define!W:W))</f>
        <v>元素</v>
      </c>
      <c r="F14">
        <v>101</v>
      </c>
      <c r="G14">
        <v>1</v>
      </c>
      <c r="H14" t="str">
        <f>INDEX(Define!B:B,MATCH(G14,Define!A:A))</f>
        <v>単体</v>
      </c>
      <c r="I14">
        <v>2</v>
      </c>
      <c r="J14">
        <v>2</v>
      </c>
      <c r="K14">
        <v>1</v>
      </c>
      <c r="L14" t="str">
        <f>INDEX(Define!E:E,MATCH(K14,Define!D:D))</f>
        <v>炎</v>
      </c>
      <c r="M14">
        <v>1</v>
      </c>
      <c r="N14" t="str">
        <f>INDEX(Define!H:H,MATCH(M14,Define!G:G))</f>
        <v>魔法</v>
      </c>
      <c r="O14">
        <v>1</v>
      </c>
      <c r="P14" t="str">
        <f>INDEX(Define!K:K,MATCH(O14,Define!J:J))</f>
        <v>相手</v>
      </c>
      <c r="Q14">
        <v>1</v>
      </c>
      <c r="R14" t="str">
        <f>INDEX(Define!N:N,MATCH(Q14,Define!M:M))</f>
        <v>単体</v>
      </c>
      <c r="S14">
        <v>1</v>
      </c>
      <c r="T14">
        <v>5</v>
      </c>
      <c r="U14">
        <v>1</v>
      </c>
      <c r="V14" s="5">
        <v>0</v>
      </c>
    </row>
    <row r="15" ht="12" customHeight="1" spans="1:22">
      <c r="A15">
        <v>1060</v>
      </c>
      <c r="B15">
        <v>1060</v>
      </c>
      <c r="C15" t="str">
        <f>INDEX(TextData!B:B,MATCH(B15,TextData!A:A))</f>
        <v>イクスティンクション</v>
      </c>
      <c r="D15">
        <v>1</v>
      </c>
      <c r="E15" t="str">
        <f>INDEX(Define!X:X,MATCH(D15,Define!W:W))</f>
        <v>元素</v>
      </c>
      <c r="F15">
        <v>101</v>
      </c>
      <c r="G15">
        <v>1</v>
      </c>
      <c r="H15" t="str">
        <f>INDEX(Define!B:B,MATCH(G15,Define!A:A))</f>
        <v>単体</v>
      </c>
      <c r="I15">
        <v>3</v>
      </c>
      <c r="J15">
        <v>2</v>
      </c>
      <c r="K15">
        <v>1</v>
      </c>
      <c r="L15" t="str">
        <f>INDEX(Define!E:E,MATCH(K15,Define!D:D))</f>
        <v>炎</v>
      </c>
      <c r="M15">
        <v>1</v>
      </c>
      <c r="N15" t="str">
        <f>INDEX(Define!H:H,MATCH(M15,Define!G:G))</f>
        <v>魔法</v>
      </c>
      <c r="O15">
        <v>1</v>
      </c>
      <c r="P15" t="str">
        <f>INDEX(Define!K:K,MATCH(O15,Define!J:J))</f>
        <v>相手</v>
      </c>
      <c r="Q15">
        <v>1</v>
      </c>
      <c r="R15" t="str">
        <f>INDEX(Define!N:N,MATCH(Q15,Define!M:M))</f>
        <v>単体</v>
      </c>
      <c r="S15">
        <v>1</v>
      </c>
      <c r="T15">
        <v>1</v>
      </c>
      <c r="U15">
        <v>1</v>
      </c>
      <c r="V15" s="5">
        <v>0</v>
      </c>
    </row>
    <row r="16" ht="12" customHeight="1" spans="1:22">
      <c r="A16">
        <v>1070</v>
      </c>
      <c r="B16">
        <v>1070</v>
      </c>
      <c r="C16" t="str">
        <f>INDEX(TextData!B:B,MATCH(B16,TextData!A:A))</f>
        <v>バーニングソウル</v>
      </c>
      <c r="D16">
        <v>2</v>
      </c>
      <c r="E16" t="str">
        <f>INDEX(Define!X:X,MATCH(D16,Define!W:W))</f>
        <v>光</v>
      </c>
      <c r="F16">
        <v>101</v>
      </c>
      <c r="G16">
        <v>1</v>
      </c>
      <c r="H16" t="str">
        <f>INDEX(Define!B:B,MATCH(G16,Define!A:A))</f>
        <v>単体</v>
      </c>
      <c r="I16">
        <v>3</v>
      </c>
      <c r="J16">
        <v>2</v>
      </c>
      <c r="K16">
        <v>1</v>
      </c>
      <c r="L16" t="str">
        <f>INDEX(Define!E:E,MATCH(K16,Define!D:D))</f>
        <v>炎</v>
      </c>
      <c r="M16">
        <v>1</v>
      </c>
      <c r="N16" t="str">
        <f>INDEX(Define!H:H,MATCH(M16,Define!G:G))</f>
        <v>魔法</v>
      </c>
      <c r="O16">
        <v>2</v>
      </c>
      <c r="P16" t="str">
        <f>INDEX(Define!K:K,MATCH(O16,Define!J:J))</f>
        <v>味方</v>
      </c>
      <c r="Q16">
        <v>1</v>
      </c>
      <c r="R16" t="str">
        <f>INDEX(Define!N:N,MATCH(Q16,Define!M:M))</f>
        <v>単体</v>
      </c>
      <c r="S16">
        <v>1</v>
      </c>
      <c r="T16">
        <v>1</v>
      </c>
      <c r="U16">
        <v>1</v>
      </c>
      <c r="V16" s="5">
        <v>0</v>
      </c>
    </row>
    <row r="17" ht="12" customHeight="1" spans="1:22">
      <c r="A17">
        <v>1080</v>
      </c>
      <c r="B17">
        <v>1080</v>
      </c>
      <c r="C17" t="str">
        <f>INDEX(TextData!B:B,MATCH(B17,TextData!A:A))</f>
        <v>レイジングバウンサー</v>
      </c>
      <c r="D17">
        <v>1</v>
      </c>
      <c r="E17" t="str">
        <f>INDEX(Define!X:X,MATCH(D17,Define!W:W))</f>
        <v>元素</v>
      </c>
      <c r="F17">
        <v>51</v>
      </c>
      <c r="G17">
        <v>1</v>
      </c>
      <c r="H17" t="str">
        <f>INDEX(Define!B:B,MATCH(G17,Define!A:A))</f>
        <v>単体</v>
      </c>
      <c r="I17">
        <v>2</v>
      </c>
      <c r="J17">
        <v>2</v>
      </c>
      <c r="K17">
        <v>1</v>
      </c>
      <c r="L17" t="str">
        <f>INDEX(Define!E:E,MATCH(K17,Define!D:D))</f>
        <v>炎</v>
      </c>
      <c r="M17">
        <v>1</v>
      </c>
      <c r="N17" t="str">
        <f>INDEX(Define!H:H,MATCH(M17,Define!G:G))</f>
        <v>魔法</v>
      </c>
      <c r="O17">
        <v>4</v>
      </c>
      <c r="P17" t="str">
        <f>INDEX(Define!K:K,MATCH(O17,Define!J:J))</f>
        <v>自身</v>
      </c>
      <c r="Q17">
        <v>4</v>
      </c>
      <c r="R17" t="str">
        <f>INDEX(Define!N:N,MATCH(Q17,Define!M:M))</f>
        <v>自身</v>
      </c>
      <c r="S17">
        <v>1</v>
      </c>
      <c r="T17">
        <v>1</v>
      </c>
      <c r="U17">
        <v>1</v>
      </c>
      <c r="V17" s="5">
        <v>0</v>
      </c>
    </row>
    <row r="18" spans="1:22">
      <c r="A18">
        <v>2010</v>
      </c>
      <c r="B18">
        <v>2010</v>
      </c>
      <c r="C18" t="str">
        <f>INDEX(TextData!B:B,MATCH(B18,TextData!A:A))</f>
        <v>ディスチャージ</v>
      </c>
      <c r="D18">
        <v>1</v>
      </c>
      <c r="E18" t="str">
        <f>INDEX(Define!X:X,MATCH(D18,Define!W:W))</f>
        <v>元素</v>
      </c>
      <c r="F18">
        <v>201</v>
      </c>
      <c r="G18">
        <v>1</v>
      </c>
      <c r="H18" t="str">
        <f>INDEX(Define!B:B,MATCH(G18,Define!A:A))</f>
        <v>単体</v>
      </c>
      <c r="I18">
        <v>0</v>
      </c>
      <c r="J18">
        <v>1</v>
      </c>
      <c r="K18">
        <v>2</v>
      </c>
      <c r="L18" t="str">
        <f>INDEX(Define!E:E,MATCH(K18,Define!D:D))</f>
        <v>雷</v>
      </c>
      <c r="M18">
        <v>1</v>
      </c>
      <c r="N18" t="str">
        <f>INDEX(Define!H:H,MATCH(M18,Define!G:G))</f>
        <v>魔法</v>
      </c>
      <c r="O18">
        <v>1</v>
      </c>
      <c r="P18" t="str">
        <f>INDEX(Define!K:K,MATCH(O18,Define!J:J))</f>
        <v>相手</v>
      </c>
      <c r="Q18">
        <v>1</v>
      </c>
      <c r="R18" t="str">
        <f>INDEX(Define!N:N,MATCH(Q18,Define!M:M))</f>
        <v>単体</v>
      </c>
      <c r="S18">
        <v>1</v>
      </c>
      <c r="T18">
        <v>1</v>
      </c>
      <c r="U18">
        <v>1</v>
      </c>
      <c r="V18" s="5">
        <v>0</v>
      </c>
    </row>
    <row r="19" spans="1:22">
      <c r="A19">
        <v>2020</v>
      </c>
      <c r="B19">
        <v>2020</v>
      </c>
      <c r="C19" t="str">
        <f>INDEX(TextData!B:B,MATCH(B19,TextData!A:A))</f>
        <v>イベイドコード</v>
      </c>
      <c r="D19">
        <v>4</v>
      </c>
      <c r="E19" t="str">
        <f>INDEX(Define!X:X,MATCH(D19,Define!W:W))</f>
        <v>精神</v>
      </c>
      <c r="F19">
        <v>51</v>
      </c>
      <c r="G19">
        <v>1</v>
      </c>
      <c r="H19" t="str">
        <f>INDEX(Define!B:B,MATCH(G19,Define!A:A))</f>
        <v>単体</v>
      </c>
      <c r="I19">
        <v>0</v>
      </c>
      <c r="J19">
        <v>2</v>
      </c>
      <c r="K19">
        <v>2</v>
      </c>
      <c r="L19" t="str">
        <f>INDEX(Define!E:E,MATCH(K19,Define!D:D))</f>
        <v>雷</v>
      </c>
      <c r="M19">
        <v>1</v>
      </c>
      <c r="N19" t="str">
        <f>INDEX(Define!H:H,MATCH(M19,Define!G:G))</f>
        <v>魔法</v>
      </c>
      <c r="O19">
        <v>4</v>
      </c>
      <c r="P19" t="str">
        <f>INDEX(Define!K:K,MATCH(O19,Define!J:J))</f>
        <v>自身</v>
      </c>
      <c r="Q19">
        <v>4</v>
      </c>
      <c r="R19" t="str">
        <f>INDEX(Define!N:N,MATCH(Q19,Define!M:M))</f>
        <v>自身</v>
      </c>
      <c r="S19">
        <v>1</v>
      </c>
      <c r="T19">
        <v>1</v>
      </c>
      <c r="U19">
        <v>1</v>
      </c>
      <c r="V19" s="5">
        <v>0</v>
      </c>
    </row>
    <row r="20" spans="1:22">
      <c r="A20">
        <v>2030</v>
      </c>
      <c r="B20">
        <v>2030</v>
      </c>
      <c r="C20" t="str">
        <f>INDEX(TextData!B:B,MATCH(B20,TextData!A:A))</f>
        <v>ショックインパルス</v>
      </c>
      <c r="D20">
        <v>3</v>
      </c>
      <c r="E20" t="str">
        <f>INDEX(Define!X:X,MATCH(D20,Define!W:W))</f>
        <v>理術</v>
      </c>
      <c r="F20">
        <v>201</v>
      </c>
      <c r="G20">
        <v>1</v>
      </c>
      <c r="H20" t="str">
        <f>INDEX(Define!B:B,MATCH(G20,Define!A:A))</f>
        <v>単体</v>
      </c>
      <c r="I20">
        <v>3</v>
      </c>
      <c r="J20">
        <v>2</v>
      </c>
      <c r="K20">
        <v>2</v>
      </c>
      <c r="L20" t="str">
        <f>INDEX(Define!E:E,MATCH(K20,Define!D:D))</f>
        <v>雷</v>
      </c>
      <c r="M20">
        <v>1</v>
      </c>
      <c r="N20" t="str">
        <f>INDEX(Define!H:H,MATCH(M20,Define!G:G))</f>
        <v>魔法</v>
      </c>
      <c r="O20">
        <v>1</v>
      </c>
      <c r="P20" t="str">
        <f>INDEX(Define!K:K,MATCH(O20,Define!J:J))</f>
        <v>相手</v>
      </c>
      <c r="Q20">
        <v>1</v>
      </c>
      <c r="R20" t="str">
        <f>INDEX(Define!N:N,MATCH(Q20,Define!M:M))</f>
        <v>単体</v>
      </c>
      <c r="S20">
        <v>2</v>
      </c>
      <c r="T20">
        <v>1</v>
      </c>
      <c r="U20">
        <v>1</v>
      </c>
      <c r="V20" s="5">
        <v>0</v>
      </c>
    </row>
    <row r="21" s="5" customFormat="1" spans="1:22">
      <c r="A21" s="5">
        <v>2040</v>
      </c>
      <c r="B21" s="5">
        <v>2040</v>
      </c>
      <c r="C21" s="5" t="str">
        <f>INDEX(TextData!B:B,MATCH(B21,TextData!A:A))</f>
        <v>トラストチェイン</v>
      </c>
      <c r="D21" s="5">
        <v>1</v>
      </c>
      <c r="E21" s="5" t="str">
        <f>INDEX(Define!X:X,MATCH(D21,Define!W:W))</f>
        <v>元素</v>
      </c>
      <c r="F21" s="5">
        <v>51</v>
      </c>
      <c r="G21" s="5">
        <v>1</v>
      </c>
      <c r="H21" s="5" t="str">
        <f>INDEX(Define!B:B,MATCH(G21,Define!A:A))</f>
        <v>単体</v>
      </c>
      <c r="I21" s="5">
        <v>3</v>
      </c>
      <c r="J21" s="5">
        <v>2</v>
      </c>
      <c r="K21" s="5">
        <v>2</v>
      </c>
      <c r="L21" s="5" t="str">
        <f>INDEX(Define!E:E,MATCH(K21,Define!D:D))</f>
        <v>雷</v>
      </c>
      <c r="M21" s="5">
        <v>1</v>
      </c>
      <c r="N21" s="5" t="str">
        <f>INDEX(Define!H:H,MATCH(M21,Define!G:G))</f>
        <v>魔法</v>
      </c>
      <c r="O21" s="5">
        <v>4</v>
      </c>
      <c r="P21" s="5" t="str">
        <f>INDEX(Define!K:K,MATCH(O21,Define!J:J))</f>
        <v>自身</v>
      </c>
      <c r="Q21" s="5">
        <v>32</v>
      </c>
      <c r="R21" s="5" t="str">
        <f>INDEX(Define!N:N,MATCH(Q21,Define!M:M))</f>
        <v>自分を除いた両隣</v>
      </c>
      <c r="S21" s="5">
        <v>1</v>
      </c>
      <c r="T21" s="5">
        <v>1</v>
      </c>
      <c r="U21" s="5">
        <v>1</v>
      </c>
      <c r="V21" s="5">
        <v>0</v>
      </c>
    </row>
    <row r="22" spans="1:22">
      <c r="A22">
        <v>2050</v>
      </c>
      <c r="B22">
        <v>2050</v>
      </c>
      <c r="C22" t="str">
        <f>INDEX(TextData!B:B,MATCH(B22,TextData!A:A))</f>
        <v>スペルバニシング</v>
      </c>
      <c r="D22">
        <v>1</v>
      </c>
      <c r="E22" t="str">
        <f>INDEX(Define!X:X,MATCH(D22,Define!W:W))</f>
        <v>元素</v>
      </c>
      <c r="F22">
        <v>201</v>
      </c>
      <c r="G22">
        <v>1</v>
      </c>
      <c r="H22" t="str">
        <f>INDEX(Define!B:B,MATCH(G22,Define!A:A))</f>
        <v>単体</v>
      </c>
      <c r="I22">
        <v>2</v>
      </c>
      <c r="J22">
        <v>2</v>
      </c>
      <c r="K22">
        <v>2</v>
      </c>
      <c r="L22" t="str">
        <f>INDEX(Define!E:E,MATCH(K22,Define!D:D))</f>
        <v>雷</v>
      </c>
      <c r="M22">
        <v>1</v>
      </c>
      <c r="N22" t="str">
        <f>INDEX(Define!H:H,MATCH(M22,Define!G:G))</f>
        <v>魔法</v>
      </c>
      <c r="O22">
        <v>1</v>
      </c>
      <c r="P22" t="str">
        <f>INDEX(Define!K:K,MATCH(O22,Define!J:J))</f>
        <v>相手</v>
      </c>
      <c r="Q22">
        <v>1</v>
      </c>
      <c r="R22" t="str">
        <f>INDEX(Define!N:N,MATCH(Q22,Define!M:M))</f>
        <v>単体</v>
      </c>
      <c r="S22">
        <v>1</v>
      </c>
      <c r="T22">
        <v>1</v>
      </c>
      <c r="U22">
        <v>1</v>
      </c>
      <c r="V22" s="5">
        <v>0</v>
      </c>
    </row>
    <row r="23" spans="1:22">
      <c r="A23">
        <v>2060</v>
      </c>
      <c r="B23">
        <v>2060</v>
      </c>
      <c r="C23" t="str">
        <f>INDEX(TextData!B:B,MATCH(B23,TextData!A:A))</f>
        <v>アーテニーストライク</v>
      </c>
      <c r="D23">
        <v>1</v>
      </c>
      <c r="E23" t="str">
        <f>INDEX(Define!X:X,MATCH(D23,Define!W:W))</f>
        <v>元素</v>
      </c>
      <c r="F23">
        <v>201</v>
      </c>
      <c r="G23">
        <v>1</v>
      </c>
      <c r="H23" t="str">
        <f>INDEX(Define!B:B,MATCH(G23,Define!A:A))</f>
        <v>単体</v>
      </c>
      <c r="I23">
        <v>1</v>
      </c>
      <c r="J23">
        <v>2</v>
      </c>
      <c r="K23">
        <v>2</v>
      </c>
      <c r="L23" t="str">
        <f>INDEX(Define!E:E,MATCH(K23,Define!D:D))</f>
        <v>雷</v>
      </c>
      <c r="M23">
        <v>1</v>
      </c>
      <c r="N23" t="str">
        <f>INDEX(Define!H:H,MATCH(M23,Define!G:G))</f>
        <v>魔法</v>
      </c>
      <c r="O23">
        <v>1</v>
      </c>
      <c r="P23" t="str">
        <f>INDEX(Define!K:K,MATCH(O23,Define!J:J))</f>
        <v>相手</v>
      </c>
      <c r="Q23">
        <v>1</v>
      </c>
      <c r="R23" t="str">
        <f>INDEX(Define!N:N,MATCH(Q23,Define!M:M))</f>
        <v>単体</v>
      </c>
      <c r="S23">
        <v>1</v>
      </c>
      <c r="T23">
        <v>1</v>
      </c>
      <c r="U23">
        <v>1</v>
      </c>
      <c r="V23" s="5">
        <v>0</v>
      </c>
    </row>
    <row r="24" spans="1:22">
      <c r="A24">
        <v>2061</v>
      </c>
      <c r="B24">
        <v>2060</v>
      </c>
      <c r="C24" t="str">
        <f>INDEX(TextData!B:B,MATCH(B24,TextData!A:A))</f>
        <v>アーテニーストライク</v>
      </c>
      <c r="D24">
        <v>1</v>
      </c>
      <c r="E24" t="str">
        <f>INDEX(Define!X:X,MATCH(D24,Define!W:W))</f>
        <v>元素</v>
      </c>
      <c r="F24">
        <v>51</v>
      </c>
      <c r="G24">
        <v>1</v>
      </c>
      <c r="H24" t="str">
        <f>INDEX(Define!B:B,MATCH(G24,Define!A:A))</f>
        <v>単体</v>
      </c>
      <c r="I24">
        <v>0</v>
      </c>
      <c r="J24">
        <v>2</v>
      </c>
      <c r="K24">
        <v>2</v>
      </c>
      <c r="L24" t="str">
        <f>INDEX(Define!E:E,MATCH(K24,Define!D:D))</f>
        <v>雷</v>
      </c>
      <c r="M24">
        <v>2</v>
      </c>
      <c r="N24" t="str">
        <f>INDEX(Define!H:H,MATCH(M24,Define!G:G))</f>
        <v>パッシブ</v>
      </c>
      <c r="O24">
        <v>4</v>
      </c>
      <c r="P24" t="str">
        <f>INDEX(Define!K:K,MATCH(O24,Define!J:J))</f>
        <v>自身</v>
      </c>
      <c r="Q24">
        <v>4</v>
      </c>
      <c r="R24" t="str">
        <f>INDEX(Define!N:N,MATCH(Q24,Define!M:M))</f>
        <v>自身</v>
      </c>
      <c r="S24">
        <v>1</v>
      </c>
      <c r="T24">
        <v>1</v>
      </c>
      <c r="U24">
        <v>1</v>
      </c>
      <c r="V24" s="5">
        <v>0</v>
      </c>
    </row>
    <row r="25" spans="1:22">
      <c r="A25">
        <v>2070</v>
      </c>
      <c r="B25">
        <v>2070</v>
      </c>
      <c r="C25" t="str">
        <f>INDEX(TextData!B:B,MATCH(B25,TextData!A:A))</f>
        <v>コンセントレイト</v>
      </c>
      <c r="D25">
        <v>3</v>
      </c>
      <c r="E25" t="str">
        <f>INDEX(Define!X:X,MATCH(D25,Define!W:W))</f>
        <v>理術</v>
      </c>
      <c r="F25">
        <v>51</v>
      </c>
      <c r="G25">
        <v>1</v>
      </c>
      <c r="H25" t="str">
        <f>INDEX(Define!B:B,MATCH(G25,Define!A:A))</f>
        <v>単体</v>
      </c>
      <c r="I25">
        <v>1</v>
      </c>
      <c r="J25">
        <v>2</v>
      </c>
      <c r="K25">
        <v>2</v>
      </c>
      <c r="L25" t="str">
        <f>INDEX(Define!E:E,MATCH(K25,Define!D:D))</f>
        <v>雷</v>
      </c>
      <c r="M25">
        <v>1</v>
      </c>
      <c r="N25" t="str">
        <f>INDEX(Define!H:H,MATCH(M25,Define!G:G))</f>
        <v>魔法</v>
      </c>
      <c r="O25">
        <v>4</v>
      </c>
      <c r="P25" t="str">
        <f>INDEX(Define!K:K,MATCH(O25,Define!J:J))</f>
        <v>自身</v>
      </c>
      <c r="Q25">
        <v>4</v>
      </c>
      <c r="R25" t="str">
        <f>INDEX(Define!N:N,MATCH(Q25,Define!M:M))</f>
        <v>自身</v>
      </c>
      <c r="S25">
        <v>1</v>
      </c>
      <c r="T25">
        <v>1</v>
      </c>
      <c r="U25">
        <v>1</v>
      </c>
      <c r="V25" s="5">
        <v>0</v>
      </c>
    </row>
    <row r="26" spans="1:22">
      <c r="A26">
        <v>2080</v>
      </c>
      <c r="B26">
        <v>2080</v>
      </c>
      <c r="C26" t="str">
        <f>INDEX(TextData!B:B,MATCH(B26,TextData!A:A))</f>
        <v>ディレイマジック</v>
      </c>
      <c r="D26">
        <v>5</v>
      </c>
      <c r="E26" t="str">
        <f>INDEX(Define!X:X,MATCH(D26,Define!W:W))</f>
        <v>超次元</v>
      </c>
      <c r="F26">
        <v>201</v>
      </c>
      <c r="G26">
        <v>1</v>
      </c>
      <c r="H26" t="str">
        <f>INDEX(Define!B:B,MATCH(G26,Define!A:A))</f>
        <v>単体</v>
      </c>
      <c r="I26">
        <v>3</v>
      </c>
      <c r="J26">
        <v>2</v>
      </c>
      <c r="K26">
        <v>2</v>
      </c>
      <c r="L26" t="str">
        <f>INDEX(Define!E:E,MATCH(K26,Define!D:D))</f>
        <v>雷</v>
      </c>
      <c r="M26">
        <v>1</v>
      </c>
      <c r="N26" t="str">
        <f>INDEX(Define!H:H,MATCH(M26,Define!G:G))</f>
        <v>魔法</v>
      </c>
      <c r="O26">
        <v>1</v>
      </c>
      <c r="P26" t="str">
        <f>INDEX(Define!K:K,MATCH(O26,Define!J:J))</f>
        <v>相手</v>
      </c>
      <c r="Q26">
        <v>1</v>
      </c>
      <c r="R26" t="str">
        <f>INDEX(Define!N:N,MATCH(Q26,Define!M:M))</f>
        <v>単体</v>
      </c>
      <c r="S26">
        <v>1</v>
      </c>
      <c r="T26">
        <v>2</v>
      </c>
      <c r="U26">
        <v>1</v>
      </c>
      <c r="V26" s="5">
        <v>0</v>
      </c>
    </row>
    <row r="27" spans="1:22">
      <c r="A27">
        <v>3010</v>
      </c>
      <c r="B27">
        <v>3010</v>
      </c>
      <c r="C27" t="str">
        <f>INDEX(TextData!B:B,MATCH(B27,TextData!A:A))</f>
        <v>アイスブレイド</v>
      </c>
      <c r="D27">
        <v>1</v>
      </c>
      <c r="E27" t="str">
        <f>INDEX(Define!X:X,MATCH(D27,Define!W:W))</f>
        <v>元素</v>
      </c>
      <c r="F27">
        <v>301</v>
      </c>
      <c r="G27">
        <v>1</v>
      </c>
      <c r="H27" t="str">
        <f>INDEX(Define!B:B,MATCH(G27,Define!A:A))</f>
        <v>単体</v>
      </c>
      <c r="I27">
        <v>0</v>
      </c>
      <c r="J27">
        <v>1</v>
      </c>
      <c r="K27">
        <v>3</v>
      </c>
      <c r="L27" t="str">
        <f>INDEX(Define!E:E,MATCH(K27,Define!D:D))</f>
        <v>氷</v>
      </c>
      <c r="M27">
        <v>1</v>
      </c>
      <c r="N27" t="str">
        <f>INDEX(Define!H:H,MATCH(M27,Define!G:G))</f>
        <v>魔法</v>
      </c>
      <c r="O27">
        <v>1</v>
      </c>
      <c r="P27" t="str">
        <f>INDEX(Define!K:K,MATCH(O27,Define!J:J))</f>
        <v>相手</v>
      </c>
      <c r="Q27">
        <v>1</v>
      </c>
      <c r="R27" t="str">
        <f>INDEX(Define!N:N,MATCH(Q27,Define!M:M))</f>
        <v>単体</v>
      </c>
      <c r="S27">
        <v>1</v>
      </c>
      <c r="T27">
        <v>1</v>
      </c>
      <c r="U27">
        <v>1</v>
      </c>
      <c r="V27" s="5">
        <v>0</v>
      </c>
    </row>
    <row r="28" spans="1:22">
      <c r="A28">
        <v>3020</v>
      </c>
      <c r="B28">
        <v>3020</v>
      </c>
      <c r="C28" t="str">
        <f>INDEX(TextData!B:B,MATCH(B28,TextData!A:A))</f>
        <v>カウンターオーラ</v>
      </c>
      <c r="D28">
        <v>2</v>
      </c>
      <c r="E28" t="str">
        <f>INDEX(Define!X:X,MATCH(D28,Define!W:W))</f>
        <v>光</v>
      </c>
      <c r="F28">
        <v>301</v>
      </c>
      <c r="G28">
        <v>1</v>
      </c>
      <c r="H28" t="str">
        <f>INDEX(Define!B:B,MATCH(G28,Define!A:A))</f>
        <v>単体</v>
      </c>
      <c r="I28">
        <v>2</v>
      </c>
      <c r="J28">
        <v>2</v>
      </c>
      <c r="K28">
        <v>3</v>
      </c>
      <c r="L28" t="str">
        <f>INDEX(Define!E:E,MATCH(K28,Define!D:D))</f>
        <v>氷</v>
      </c>
      <c r="M28">
        <v>1</v>
      </c>
      <c r="N28" t="str">
        <f>INDEX(Define!H:H,MATCH(M28,Define!G:G))</f>
        <v>魔法</v>
      </c>
      <c r="O28">
        <v>4</v>
      </c>
      <c r="P28" t="str">
        <f>INDEX(Define!K:K,MATCH(O28,Define!J:J))</f>
        <v>自身</v>
      </c>
      <c r="Q28">
        <v>4</v>
      </c>
      <c r="R28" t="str">
        <f>INDEX(Define!N:N,MATCH(Q28,Define!M:M))</f>
        <v>自身</v>
      </c>
      <c r="S28">
        <v>1</v>
      </c>
      <c r="T28">
        <v>1</v>
      </c>
      <c r="U28">
        <v>1</v>
      </c>
      <c r="V28" s="5">
        <v>0</v>
      </c>
    </row>
    <row r="29" customFormat="1" spans="1:22">
      <c r="A29">
        <v>3030</v>
      </c>
      <c r="B29">
        <v>3030</v>
      </c>
      <c r="C29" t="str">
        <f>INDEX(TextData!B:B,MATCH(B29,TextData!A:A))</f>
        <v>ラインプロテクト</v>
      </c>
      <c r="D29">
        <v>4</v>
      </c>
      <c r="E29" t="str">
        <f>INDEX(Define!X:X,MATCH(D29,Define!W:W))</f>
        <v>精神</v>
      </c>
      <c r="F29">
        <v>51</v>
      </c>
      <c r="G29">
        <v>1</v>
      </c>
      <c r="H29" t="str">
        <f>INDEX(Define!B:B,MATCH(G29,Define!A:A))</f>
        <v>単体</v>
      </c>
      <c r="I29">
        <v>4</v>
      </c>
      <c r="J29">
        <v>2</v>
      </c>
      <c r="K29">
        <v>3</v>
      </c>
      <c r="L29" t="str">
        <f>INDEX(Define!E:E,MATCH(K29,Define!D:D))</f>
        <v>氷</v>
      </c>
      <c r="M29">
        <v>1</v>
      </c>
      <c r="N29" t="str">
        <f>INDEX(Define!H:H,MATCH(M29,Define!G:G))</f>
        <v>魔法</v>
      </c>
      <c r="O29">
        <v>2</v>
      </c>
      <c r="P29" t="str">
        <f>INDEX(Define!K:K,MATCH(O29,Define!J:J))</f>
        <v>味方</v>
      </c>
      <c r="Q29">
        <v>2</v>
      </c>
      <c r="R29" t="str">
        <f>INDEX(Define!N:N,MATCH(Q29,Define!M:M))</f>
        <v>列</v>
      </c>
      <c r="S29">
        <v>1</v>
      </c>
      <c r="T29">
        <v>1</v>
      </c>
      <c r="U29">
        <v>1</v>
      </c>
      <c r="V29" s="5">
        <v>0</v>
      </c>
    </row>
    <row r="30" spans="1:22">
      <c r="A30">
        <v>3040</v>
      </c>
      <c r="B30">
        <v>3040</v>
      </c>
      <c r="C30" t="str">
        <f>INDEX(TextData!B:B,MATCH(B30,TextData!A:A))</f>
        <v>エスコートソール</v>
      </c>
      <c r="D30">
        <v>3</v>
      </c>
      <c r="E30" t="str">
        <f>INDEX(Define!X:X,MATCH(D30,Define!W:W))</f>
        <v>理術</v>
      </c>
      <c r="F30">
        <v>61</v>
      </c>
      <c r="G30">
        <v>1</v>
      </c>
      <c r="H30" t="str">
        <f>INDEX(Define!B:B,MATCH(G30,Define!A:A))</f>
        <v>単体</v>
      </c>
      <c r="I30">
        <v>3</v>
      </c>
      <c r="J30">
        <v>2</v>
      </c>
      <c r="K30">
        <v>3</v>
      </c>
      <c r="L30" t="str">
        <f>INDEX(Define!E:E,MATCH(K30,Define!D:D))</f>
        <v>氷</v>
      </c>
      <c r="M30">
        <v>1</v>
      </c>
      <c r="N30" t="str">
        <f>INDEX(Define!H:H,MATCH(M30,Define!G:G))</f>
        <v>魔法</v>
      </c>
      <c r="O30">
        <v>1</v>
      </c>
      <c r="P30" t="str">
        <f>INDEX(Define!K:K,MATCH(O30,Define!J:J))</f>
        <v>相手</v>
      </c>
      <c r="Q30">
        <v>31</v>
      </c>
      <c r="R30" t="str">
        <f>INDEX(Define!N:N,MATCH(Q30,Define!M:M))</f>
        <v>単体と両隣</v>
      </c>
      <c r="S30">
        <v>1</v>
      </c>
      <c r="T30">
        <v>1</v>
      </c>
      <c r="U30">
        <v>1</v>
      </c>
      <c r="V30" s="5">
        <v>0</v>
      </c>
    </row>
    <row r="31" spans="1:22">
      <c r="A31">
        <v>3050</v>
      </c>
      <c r="B31">
        <v>3050</v>
      </c>
      <c r="C31" t="str">
        <f>INDEX(TextData!B:B,MATCH(B31,TextData!A:A))</f>
        <v>ディープフリーズ</v>
      </c>
      <c r="D31">
        <v>3</v>
      </c>
      <c r="E31" t="str">
        <f>INDEX(Define!X:X,MATCH(D31,Define!W:W))</f>
        <v>理術</v>
      </c>
      <c r="F31">
        <v>301</v>
      </c>
      <c r="G31">
        <v>1</v>
      </c>
      <c r="H31" t="str">
        <f>INDEX(Define!B:B,MATCH(G31,Define!A:A))</f>
        <v>単体</v>
      </c>
      <c r="I31">
        <v>4</v>
      </c>
      <c r="J31">
        <v>2</v>
      </c>
      <c r="K31">
        <v>3</v>
      </c>
      <c r="L31" t="str">
        <f>INDEX(Define!E:E,MATCH(K31,Define!D:D))</f>
        <v>氷</v>
      </c>
      <c r="M31">
        <v>1</v>
      </c>
      <c r="N31" t="str">
        <f>INDEX(Define!H:H,MATCH(M31,Define!G:G))</f>
        <v>魔法</v>
      </c>
      <c r="O31">
        <v>1</v>
      </c>
      <c r="P31" t="str">
        <f>INDEX(Define!K:K,MATCH(O31,Define!J:J))</f>
        <v>相手</v>
      </c>
      <c r="Q31">
        <v>2</v>
      </c>
      <c r="R31" t="str">
        <f>INDEX(Define!N:N,MATCH(Q31,Define!M:M))</f>
        <v>列</v>
      </c>
      <c r="S31">
        <v>1</v>
      </c>
      <c r="T31">
        <v>1</v>
      </c>
      <c r="U31">
        <v>1</v>
      </c>
      <c r="V31" s="5">
        <v>0</v>
      </c>
    </row>
    <row r="32" spans="1:22">
      <c r="A32">
        <v>3060</v>
      </c>
      <c r="B32">
        <v>3060</v>
      </c>
      <c r="C32" t="str">
        <f>INDEX(TextData!B:B,MATCH(B32,TextData!A:A))</f>
        <v>バブルブロウ</v>
      </c>
      <c r="D32">
        <v>3</v>
      </c>
      <c r="E32" t="str">
        <f>INDEX(Define!X:X,MATCH(D32,Define!W:W))</f>
        <v>理術</v>
      </c>
      <c r="F32">
        <v>301</v>
      </c>
      <c r="G32">
        <v>1</v>
      </c>
      <c r="H32" t="str">
        <f>INDEX(Define!B:B,MATCH(G32,Define!A:A))</f>
        <v>単体</v>
      </c>
      <c r="I32">
        <v>2</v>
      </c>
      <c r="J32">
        <v>2</v>
      </c>
      <c r="K32">
        <v>3</v>
      </c>
      <c r="L32" t="str">
        <f>INDEX(Define!E:E,MATCH(K32,Define!D:D))</f>
        <v>氷</v>
      </c>
      <c r="M32">
        <v>1</v>
      </c>
      <c r="N32" t="str">
        <f>INDEX(Define!H:H,MATCH(M32,Define!G:G))</f>
        <v>魔法</v>
      </c>
      <c r="O32">
        <v>1</v>
      </c>
      <c r="P32" t="str">
        <f>INDEX(Define!K:K,MATCH(O32,Define!J:J))</f>
        <v>相手</v>
      </c>
      <c r="Q32">
        <v>1</v>
      </c>
      <c r="R32" t="str">
        <f>INDEX(Define!N:N,MATCH(Q32,Define!M:M))</f>
        <v>単体</v>
      </c>
      <c r="S32">
        <v>1</v>
      </c>
      <c r="T32">
        <v>1</v>
      </c>
      <c r="U32">
        <v>1</v>
      </c>
      <c r="V32" s="5">
        <v>0</v>
      </c>
    </row>
    <row r="33" spans="1:22">
      <c r="A33">
        <v>3070</v>
      </c>
      <c r="B33">
        <v>3070</v>
      </c>
      <c r="C33" t="str">
        <f>INDEX(TextData!B:B,MATCH(B33,TextData!A:A))</f>
        <v>アクアミラージュ</v>
      </c>
      <c r="D33">
        <v>4</v>
      </c>
      <c r="E33" t="str">
        <f>INDEX(Define!X:X,MATCH(D33,Define!W:W))</f>
        <v>精神</v>
      </c>
      <c r="F33">
        <v>51</v>
      </c>
      <c r="G33">
        <v>1</v>
      </c>
      <c r="H33" t="str">
        <f>INDEX(Define!B:B,MATCH(G33,Define!A:A))</f>
        <v>単体</v>
      </c>
      <c r="I33">
        <v>2</v>
      </c>
      <c r="J33">
        <v>2</v>
      </c>
      <c r="K33">
        <v>3</v>
      </c>
      <c r="L33" t="str">
        <f>INDEX(Define!E:E,MATCH(K33,Define!D:D))</f>
        <v>氷</v>
      </c>
      <c r="M33">
        <v>1</v>
      </c>
      <c r="N33" t="str">
        <f>INDEX(Define!H:H,MATCH(M33,Define!G:G))</f>
        <v>魔法</v>
      </c>
      <c r="O33">
        <v>2</v>
      </c>
      <c r="P33" t="str">
        <f>INDEX(Define!K:K,MATCH(O33,Define!J:J))</f>
        <v>味方</v>
      </c>
      <c r="Q33">
        <v>1</v>
      </c>
      <c r="R33" t="str">
        <f>INDEX(Define!N:N,MATCH(Q33,Define!M:M))</f>
        <v>単体</v>
      </c>
      <c r="S33">
        <v>2</v>
      </c>
      <c r="T33">
        <v>1</v>
      </c>
      <c r="U33">
        <v>1</v>
      </c>
      <c r="V33" s="5">
        <v>0</v>
      </c>
    </row>
    <row r="34" spans="1:22">
      <c r="A34">
        <v>3080</v>
      </c>
      <c r="B34">
        <v>3080</v>
      </c>
      <c r="C34" t="str">
        <f>INDEX(TextData!B:B,MATCH(B34,TextData!A:A))</f>
        <v>フロストシールド</v>
      </c>
      <c r="D34">
        <v>4</v>
      </c>
      <c r="E34" t="str">
        <f>INDEX(Define!X:X,MATCH(D34,Define!W:W))</f>
        <v>精神</v>
      </c>
      <c r="F34">
        <v>51</v>
      </c>
      <c r="G34">
        <v>1</v>
      </c>
      <c r="H34" t="str">
        <f>INDEX(Define!B:B,MATCH(G34,Define!A:A))</f>
        <v>単体</v>
      </c>
      <c r="I34">
        <v>5</v>
      </c>
      <c r="J34">
        <v>2</v>
      </c>
      <c r="K34">
        <v>3</v>
      </c>
      <c r="L34" t="str">
        <f>INDEX(Define!E:E,MATCH(K34,Define!D:D))</f>
        <v>氷</v>
      </c>
      <c r="M34">
        <v>1</v>
      </c>
      <c r="N34" t="str">
        <f>INDEX(Define!H:H,MATCH(M34,Define!G:G))</f>
        <v>魔法</v>
      </c>
      <c r="O34">
        <v>2</v>
      </c>
      <c r="P34" t="str">
        <f>INDEX(Define!K:K,MATCH(O34,Define!J:J))</f>
        <v>味方</v>
      </c>
      <c r="Q34">
        <v>3</v>
      </c>
      <c r="R34" t="str">
        <f>INDEX(Define!N:N,MATCH(Q34,Define!M:M))</f>
        <v>全体</v>
      </c>
      <c r="S34">
        <v>2</v>
      </c>
      <c r="T34">
        <v>1</v>
      </c>
      <c r="U34">
        <v>1</v>
      </c>
      <c r="V34" s="5">
        <v>0</v>
      </c>
    </row>
    <row r="35" spans="1:22">
      <c r="A35">
        <v>3110</v>
      </c>
      <c r="B35">
        <v>3110</v>
      </c>
      <c r="C35" t="str">
        <f>INDEX(TextData!B:B,MATCH(B35,TextData!A:A))</f>
        <v>フリーズランサー</v>
      </c>
      <c r="D35">
        <v>1</v>
      </c>
      <c r="E35" t="str">
        <f>INDEX(Define!X:X,MATCH(D35,Define!W:W))</f>
        <v>元素</v>
      </c>
      <c r="F35">
        <v>301</v>
      </c>
      <c r="G35">
        <v>1</v>
      </c>
      <c r="H35" t="str">
        <f>INDEX(Define!B:B,MATCH(G35,Define!A:A))</f>
        <v>単体</v>
      </c>
      <c r="I35">
        <v>2</v>
      </c>
      <c r="J35">
        <v>2</v>
      </c>
      <c r="K35">
        <v>3</v>
      </c>
      <c r="L35" t="str">
        <f>INDEX(Define!E:E,MATCH(K35,Define!D:D))</f>
        <v>氷</v>
      </c>
      <c r="M35">
        <v>1</v>
      </c>
      <c r="N35" t="str">
        <f>INDEX(Define!H:H,MATCH(M35,Define!G:G))</f>
        <v>魔法</v>
      </c>
      <c r="O35">
        <v>1</v>
      </c>
      <c r="P35" t="str">
        <f>INDEX(Define!K:K,MATCH(O35,Define!J:J))</f>
        <v>相手</v>
      </c>
      <c r="Q35">
        <v>1</v>
      </c>
      <c r="R35" t="str">
        <f>INDEX(Define!N:N,MATCH(Q35,Define!M:M))</f>
        <v>単体</v>
      </c>
      <c r="S35">
        <v>1</v>
      </c>
      <c r="T35">
        <v>2</v>
      </c>
      <c r="U35">
        <v>1</v>
      </c>
      <c r="V35" s="5">
        <v>0</v>
      </c>
    </row>
    <row r="36" spans="1:22">
      <c r="A36">
        <v>3120</v>
      </c>
      <c r="B36">
        <v>3120</v>
      </c>
      <c r="C36" t="str">
        <f>INDEX(TextData!B:B,MATCH(B36,TextData!A:A))</f>
        <v>ウォーターヒール</v>
      </c>
      <c r="D36">
        <v>1</v>
      </c>
      <c r="E36" t="str">
        <f>INDEX(Define!X:X,MATCH(D36,Define!W:W))</f>
        <v>元素</v>
      </c>
      <c r="F36">
        <v>21</v>
      </c>
      <c r="G36">
        <v>1</v>
      </c>
      <c r="H36" t="str">
        <f>INDEX(Define!B:B,MATCH(G36,Define!A:A))</f>
        <v>単体</v>
      </c>
      <c r="I36">
        <v>2</v>
      </c>
      <c r="J36">
        <v>2</v>
      </c>
      <c r="K36">
        <v>3</v>
      </c>
      <c r="L36" t="str">
        <f>INDEX(Define!E:E,MATCH(K36,Define!D:D))</f>
        <v>氷</v>
      </c>
      <c r="M36">
        <v>1</v>
      </c>
      <c r="N36" t="str">
        <f>INDEX(Define!H:H,MATCH(M36,Define!G:G))</f>
        <v>魔法</v>
      </c>
      <c r="O36">
        <v>2</v>
      </c>
      <c r="P36" t="str">
        <f>INDEX(Define!K:K,MATCH(O36,Define!J:J))</f>
        <v>味方</v>
      </c>
      <c r="Q36">
        <v>3</v>
      </c>
      <c r="R36" t="str">
        <f>INDEX(Define!N:N,MATCH(Q36,Define!M:M))</f>
        <v>全体</v>
      </c>
      <c r="S36">
        <v>2</v>
      </c>
      <c r="T36">
        <v>1</v>
      </c>
      <c r="U36">
        <v>1</v>
      </c>
      <c r="V36" s="5">
        <v>0</v>
      </c>
    </row>
    <row r="37" ht="12" customHeight="1" spans="1:22">
      <c r="A37">
        <v>4010</v>
      </c>
      <c r="B37">
        <v>4010</v>
      </c>
      <c r="C37" t="str">
        <f>INDEX(TextData!B:B,MATCH(B37,TextData!A:A))</f>
        <v>セイントレーザー</v>
      </c>
      <c r="D37">
        <v>1</v>
      </c>
      <c r="E37" t="str">
        <f>INDEX(Define!X:X,MATCH(D37,Define!W:W))</f>
        <v>元素</v>
      </c>
      <c r="F37">
        <v>401</v>
      </c>
      <c r="G37">
        <v>1</v>
      </c>
      <c r="H37" t="str">
        <f>INDEX(Define!B:B,MATCH(G37,Define!A:A))</f>
        <v>単体</v>
      </c>
      <c r="I37">
        <v>0</v>
      </c>
      <c r="J37">
        <v>1</v>
      </c>
      <c r="K37">
        <v>4</v>
      </c>
      <c r="L37" t="str">
        <f>INDEX(Define!E:E,MATCH(K37,Define!D:D))</f>
        <v>光</v>
      </c>
      <c r="M37">
        <v>1</v>
      </c>
      <c r="N37" t="str">
        <f>INDEX(Define!H:H,MATCH(M37,Define!G:G))</f>
        <v>魔法</v>
      </c>
      <c r="O37">
        <v>1</v>
      </c>
      <c r="P37" t="str">
        <f>INDEX(Define!K:K,MATCH(O37,Define!J:J))</f>
        <v>相手</v>
      </c>
      <c r="Q37">
        <v>1</v>
      </c>
      <c r="R37" t="str">
        <f>INDEX(Define!N:N,MATCH(Q37,Define!M:M))</f>
        <v>単体</v>
      </c>
      <c r="S37">
        <v>1</v>
      </c>
      <c r="T37">
        <v>1</v>
      </c>
      <c r="U37">
        <v>1</v>
      </c>
      <c r="V37" s="5">
        <v>0</v>
      </c>
    </row>
    <row r="38" s="5" customFormat="1" ht="12" customHeight="1" spans="1:22">
      <c r="A38" s="5">
        <v>4020</v>
      </c>
      <c r="B38" s="5">
        <v>4020</v>
      </c>
      <c r="C38" s="5" t="str">
        <f>INDEX(TextData!B:B,MATCH(B38,TextData!A:A))</f>
        <v>ペネトレイト</v>
      </c>
      <c r="D38" s="5">
        <v>1</v>
      </c>
      <c r="E38" s="5" t="str">
        <f>INDEX(Define!X:X,MATCH(D38,Define!W:W))</f>
        <v>元素</v>
      </c>
      <c r="F38" s="5">
        <v>401</v>
      </c>
      <c r="G38" s="5">
        <v>1</v>
      </c>
      <c r="H38" s="5" t="str">
        <f>INDEX(Define!B:B,MATCH(G38,Define!A:A))</f>
        <v>単体</v>
      </c>
      <c r="I38" s="5">
        <v>0</v>
      </c>
      <c r="J38" s="5">
        <v>2</v>
      </c>
      <c r="K38" s="5">
        <v>4</v>
      </c>
      <c r="L38" s="5" t="str">
        <f>INDEX(Define!E:E,MATCH(K38,Define!D:D))</f>
        <v>光</v>
      </c>
      <c r="M38" s="5">
        <v>1</v>
      </c>
      <c r="N38" s="5" t="str">
        <f>INDEX(Define!H:H,MATCH(M38,Define!G:G))</f>
        <v>魔法</v>
      </c>
      <c r="O38" s="5">
        <v>1</v>
      </c>
      <c r="P38" s="5" t="str">
        <f>INDEX(Define!K:K,MATCH(O38,Define!J:J))</f>
        <v>相手</v>
      </c>
      <c r="Q38" s="5">
        <v>1</v>
      </c>
      <c r="R38" s="5" t="str">
        <f>INDEX(Define!N:N,MATCH(Q38,Define!M:M))</f>
        <v>単体</v>
      </c>
      <c r="S38" s="5">
        <v>1</v>
      </c>
      <c r="T38" s="5">
        <v>1</v>
      </c>
      <c r="U38" s="5">
        <v>1</v>
      </c>
      <c r="V38" s="5">
        <v>0</v>
      </c>
    </row>
    <row r="39" ht="12" customHeight="1" spans="1:22">
      <c r="A39">
        <v>4030</v>
      </c>
      <c r="B39">
        <v>4030</v>
      </c>
      <c r="C39" t="str">
        <f>INDEX(TextData!B:B,MATCH(B39,TextData!A:A))</f>
        <v>ヒーリング</v>
      </c>
      <c r="D39">
        <v>2</v>
      </c>
      <c r="E39" t="str">
        <f>INDEX(Define!X:X,MATCH(D39,Define!W:W))</f>
        <v>光</v>
      </c>
      <c r="F39">
        <v>21</v>
      </c>
      <c r="G39">
        <v>1</v>
      </c>
      <c r="H39" t="str">
        <f>INDEX(Define!B:B,MATCH(G39,Define!A:A))</f>
        <v>単体</v>
      </c>
      <c r="I39">
        <v>3</v>
      </c>
      <c r="J39">
        <v>2</v>
      </c>
      <c r="K39">
        <v>4</v>
      </c>
      <c r="L39" t="str">
        <f>INDEX(Define!E:E,MATCH(K39,Define!D:D))</f>
        <v>光</v>
      </c>
      <c r="M39">
        <v>1</v>
      </c>
      <c r="N39" t="str">
        <f>INDEX(Define!H:H,MATCH(M39,Define!G:G))</f>
        <v>魔法</v>
      </c>
      <c r="O39">
        <v>3</v>
      </c>
      <c r="P39" t="str">
        <f>INDEX(Define!K:K,MATCH(O39,Define!J:J))</f>
        <v>全員</v>
      </c>
      <c r="Q39">
        <v>1</v>
      </c>
      <c r="R39" t="str">
        <f>INDEX(Define!N:N,MATCH(Q39,Define!M:M))</f>
        <v>単体</v>
      </c>
      <c r="S39">
        <v>1</v>
      </c>
      <c r="T39">
        <v>1</v>
      </c>
      <c r="U39">
        <v>1</v>
      </c>
      <c r="V39" s="5">
        <v>0</v>
      </c>
    </row>
    <row r="40" customFormat="1" spans="1:22">
      <c r="A40">
        <v>4040</v>
      </c>
      <c r="B40">
        <v>4040</v>
      </c>
      <c r="C40" t="str">
        <f>INDEX(TextData!B:B,MATCH(B40,TextData!A:A))</f>
        <v>リザイアフォトン</v>
      </c>
      <c r="D40">
        <v>2</v>
      </c>
      <c r="E40" t="str">
        <f>INDEX(Define!X:X,MATCH(D40,Define!W:W))</f>
        <v>光</v>
      </c>
      <c r="F40">
        <v>401</v>
      </c>
      <c r="G40">
        <v>1</v>
      </c>
      <c r="H40" t="str">
        <f>INDEX(Define!B:B,MATCH(G40,Define!A:A))</f>
        <v>単体</v>
      </c>
      <c r="I40">
        <v>3</v>
      </c>
      <c r="J40">
        <v>2</v>
      </c>
      <c r="K40">
        <v>4</v>
      </c>
      <c r="L40" t="str">
        <f>INDEX(Define!E:E,MATCH(K40,Define!D:D))</f>
        <v>光</v>
      </c>
      <c r="M40">
        <v>1</v>
      </c>
      <c r="N40" t="str">
        <f>INDEX(Define!H:H,MATCH(M40,Define!G:G))</f>
        <v>魔法</v>
      </c>
      <c r="O40">
        <v>1</v>
      </c>
      <c r="P40" t="str">
        <f>INDEX(Define!K:K,MATCH(O40,Define!J:J))</f>
        <v>相手</v>
      </c>
      <c r="Q40">
        <v>1</v>
      </c>
      <c r="R40" t="str">
        <f>INDEX(Define!N:N,MATCH(Q40,Define!M:M))</f>
        <v>単体</v>
      </c>
      <c r="S40">
        <v>1</v>
      </c>
      <c r="T40">
        <v>1</v>
      </c>
      <c r="U40">
        <v>1</v>
      </c>
      <c r="V40" s="5">
        <v>0</v>
      </c>
    </row>
    <row r="41" s="5" customFormat="1" ht="12" customHeight="1" spans="1:22">
      <c r="A41" s="5">
        <v>4050</v>
      </c>
      <c r="B41" s="5">
        <v>4050</v>
      </c>
      <c r="C41" s="5" t="str">
        <f>INDEX(TextData!B:B,MATCH(B41,TextData!A:A))</f>
        <v>べネディクション</v>
      </c>
      <c r="D41" s="5">
        <v>2</v>
      </c>
      <c r="E41" s="5" t="str">
        <f>INDEX(Define!X:X,MATCH(D41,Define!W:W))</f>
        <v>光</v>
      </c>
      <c r="F41" s="5">
        <v>21</v>
      </c>
      <c r="G41" s="5">
        <v>1</v>
      </c>
      <c r="H41" s="5" t="str">
        <f>INDEX(Define!B:B,MATCH(G41,Define!A:A))</f>
        <v>単体</v>
      </c>
      <c r="I41" s="5">
        <v>3</v>
      </c>
      <c r="J41" s="5">
        <v>2</v>
      </c>
      <c r="K41" s="5">
        <v>4</v>
      </c>
      <c r="L41" s="5" t="str">
        <f>INDEX(Define!E:E,MATCH(K41,Define!D:D))</f>
        <v>光</v>
      </c>
      <c r="M41" s="5">
        <v>1</v>
      </c>
      <c r="N41" s="5" t="str">
        <f>INDEX(Define!H:H,MATCH(M41,Define!G:G))</f>
        <v>魔法</v>
      </c>
      <c r="O41" s="5">
        <v>2</v>
      </c>
      <c r="P41" s="5" t="str">
        <f>INDEX(Define!K:K,MATCH(O41,Define!J:J))</f>
        <v>味方</v>
      </c>
      <c r="Q41" s="5">
        <v>13</v>
      </c>
      <c r="R41" s="5" t="str">
        <f>INDEX(Define!N:N,MATCH(Q41,Define!M:M))</f>
        <v>全体・自身を除く</v>
      </c>
      <c r="S41" s="5">
        <v>2</v>
      </c>
      <c r="T41" s="5">
        <v>1</v>
      </c>
      <c r="U41" s="5">
        <v>1</v>
      </c>
      <c r="V41" s="5">
        <v>0</v>
      </c>
    </row>
    <row r="42" spans="1:22">
      <c r="A42">
        <v>4060</v>
      </c>
      <c r="B42">
        <v>4060</v>
      </c>
      <c r="C42" t="str">
        <f>INDEX(TextData!B:B,MATCH(B42,TextData!A:A))</f>
        <v>ホーリーグレイス</v>
      </c>
      <c r="D42">
        <v>2</v>
      </c>
      <c r="E42" t="str">
        <f>INDEX(Define!X:X,MATCH(D42,Define!W:W))</f>
        <v>光</v>
      </c>
      <c r="F42">
        <v>21</v>
      </c>
      <c r="G42">
        <v>1</v>
      </c>
      <c r="H42" t="str">
        <f>INDEX(Define!B:B,MATCH(G42,Define!A:A))</f>
        <v>単体</v>
      </c>
      <c r="I42">
        <v>7</v>
      </c>
      <c r="J42">
        <v>2</v>
      </c>
      <c r="K42">
        <v>4</v>
      </c>
      <c r="L42" t="str">
        <f>INDEX(Define!E:E,MATCH(K42,Define!D:D))</f>
        <v>光</v>
      </c>
      <c r="M42">
        <v>1</v>
      </c>
      <c r="N42" t="str">
        <f>INDEX(Define!H:H,MATCH(M42,Define!G:G))</f>
        <v>魔法</v>
      </c>
      <c r="O42">
        <v>2</v>
      </c>
      <c r="P42" t="str">
        <f>INDEX(Define!K:K,MATCH(O42,Define!J:J))</f>
        <v>味方</v>
      </c>
      <c r="Q42">
        <v>1</v>
      </c>
      <c r="R42" t="str">
        <f>INDEX(Define!N:N,MATCH(Q42,Define!M:M))</f>
        <v>単体</v>
      </c>
      <c r="S42">
        <v>1</v>
      </c>
      <c r="T42">
        <v>1</v>
      </c>
      <c r="U42">
        <v>0</v>
      </c>
      <c r="V42" s="5">
        <v>0</v>
      </c>
    </row>
    <row r="43" spans="1:22">
      <c r="A43">
        <v>4070</v>
      </c>
      <c r="B43">
        <v>4070</v>
      </c>
      <c r="C43" t="str">
        <f>INDEX(TextData!B:B,MATCH(B43,TextData!A:A))</f>
        <v>キュアエール</v>
      </c>
      <c r="D43">
        <v>2</v>
      </c>
      <c r="E43" t="str">
        <f>INDEX(Define!X:X,MATCH(D43,Define!W:W))</f>
        <v>光</v>
      </c>
      <c r="F43">
        <v>21</v>
      </c>
      <c r="G43">
        <v>1</v>
      </c>
      <c r="H43" t="str">
        <f>INDEX(Define!B:B,MATCH(G43,Define!A:A))</f>
        <v>単体</v>
      </c>
      <c r="I43">
        <v>4</v>
      </c>
      <c r="J43">
        <v>2</v>
      </c>
      <c r="K43">
        <v>4</v>
      </c>
      <c r="L43" t="str">
        <f>INDEX(Define!E:E,MATCH(K43,Define!D:D))</f>
        <v>光</v>
      </c>
      <c r="M43">
        <v>1</v>
      </c>
      <c r="N43" t="str">
        <f>INDEX(Define!H:H,MATCH(M43,Define!G:G))</f>
        <v>魔法</v>
      </c>
      <c r="O43">
        <v>2</v>
      </c>
      <c r="P43" t="str">
        <f>INDEX(Define!K:K,MATCH(O43,Define!J:J))</f>
        <v>味方</v>
      </c>
      <c r="Q43">
        <v>2</v>
      </c>
      <c r="R43" t="str">
        <f>INDEX(Define!N:N,MATCH(Q43,Define!M:M))</f>
        <v>列</v>
      </c>
      <c r="S43">
        <v>1</v>
      </c>
      <c r="T43">
        <v>1</v>
      </c>
      <c r="U43">
        <v>1</v>
      </c>
      <c r="V43" s="5">
        <v>0</v>
      </c>
    </row>
    <row r="44" spans="1:22">
      <c r="A44">
        <v>4080</v>
      </c>
      <c r="B44">
        <v>4080</v>
      </c>
      <c r="C44" t="str">
        <f>INDEX(TextData!B:B,MATCH(B44,TextData!A:A))</f>
        <v>ラインバリア</v>
      </c>
      <c r="D44">
        <v>2</v>
      </c>
      <c r="E44" t="str">
        <f>INDEX(Define!X:X,MATCH(D44,Define!W:W))</f>
        <v>光</v>
      </c>
      <c r="F44">
        <v>51</v>
      </c>
      <c r="G44">
        <v>1</v>
      </c>
      <c r="H44" t="str">
        <f>INDEX(Define!B:B,MATCH(G44,Define!A:A))</f>
        <v>単体</v>
      </c>
      <c r="I44">
        <v>4</v>
      </c>
      <c r="J44">
        <v>2</v>
      </c>
      <c r="K44">
        <v>4</v>
      </c>
      <c r="L44" t="str">
        <f>INDEX(Define!E:E,MATCH(K44,Define!D:D))</f>
        <v>光</v>
      </c>
      <c r="M44">
        <v>1</v>
      </c>
      <c r="N44" t="str">
        <f>INDEX(Define!H:H,MATCH(M44,Define!G:G))</f>
        <v>魔法</v>
      </c>
      <c r="O44">
        <v>2</v>
      </c>
      <c r="P44" t="str">
        <f>INDEX(Define!K:K,MATCH(O44,Define!J:J))</f>
        <v>味方</v>
      </c>
      <c r="Q44">
        <v>2</v>
      </c>
      <c r="R44" t="str">
        <f>INDEX(Define!N:N,MATCH(Q44,Define!M:M))</f>
        <v>列</v>
      </c>
      <c r="S44">
        <v>1</v>
      </c>
      <c r="T44">
        <v>1</v>
      </c>
      <c r="U44">
        <v>1</v>
      </c>
      <c r="V44" s="5">
        <v>0</v>
      </c>
    </row>
    <row r="45" ht="12" customHeight="1" spans="1:22">
      <c r="A45">
        <v>5010</v>
      </c>
      <c r="B45">
        <v>5010</v>
      </c>
      <c r="C45" t="str">
        <f>INDEX(TextData!B:B,MATCH(B45,TextData!A:A))</f>
        <v>ダークプリズン</v>
      </c>
      <c r="D45">
        <v>5</v>
      </c>
      <c r="E45" t="str">
        <f>INDEX(Define!X:X,MATCH(D45,Define!W:W))</f>
        <v>超次元</v>
      </c>
      <c r="F45">
        <v>501</v>
      </c>
      <c r="G45">
        <v>1</v>
      </c>
      <c r="H45" t="str">
        <f>INDEX(Define!B:B,MATCH(G45,Define!A:A))</f>
        <v>単体</v>
      </c>
      <c r="I45">
        <v>0</v>
      </c>
      <c r="J45">
        <v>1</v>
      </c>
      <c r="K45">
        <v>5</v>
      </c>
      <c r="L45" t="str">
        <f>INDEX(Define!E:E,MATCH(K45,Define!D:D))</f>
        <v>闇</v>
      </c>
      <c r="M45">
        <v>1</v>
      </c>
      <c r="N45" t="str">
        <f>INDEX(Define!H:H,MATCH(M45,Define!G:G))</f>
        <v>魔法</v>
      </c>
      <c r="O45">
        <v>1</v>
      </c>
      <c r="P45" t="str">
        <f>INDEX(Define!K:K,MATCH(O45,Define!J:J))</f>
        <v>相手</v>
      </c>
      <c r="Q45">
        <v>1</v>
      </c>
      <c r="R45" t="str">
        <f>INDEX(Define!N:N,MATCH(Q45,Define!M:M))</f>
        <v>単体</v>
      </c>
      <c r="S45">
        <v>1</v>
      </c>
      <c r="T45">
        <v>1</v>
      </c>
      <c r="U45">
        <v>1</v>
      </c>
      <c r="V45" s="5">
        <v>0</v>
      </c>
    </row>
    <row r="46" ht="12" customHeight="1" spans="1:22">
      <c r="A46">
        <v>5020</v>
      </c>
      <c r="B46">
        <v>5020</v>
      </c>
      <c r="C46" t="str">
        <f>INDEX(TextData!B:B,MATCH(B46,TextData!A:A))</f>
        <v>ユーサネイジア</v>
      </c>
      <c r="D46">
        <v>5</v>
      </c>
      <c r="E46" t="str">
        <f>INDEX(Define!X:X,MATCH(D46,Define!W:W))</f>
        <v>超次元</v>
      </c>
      <c r="F46">
        <v>501</v>
      </c>
      <c r="G46">
        <v>1</v>
      </c>
      <c r="H46" t="str">
        <f>INDEX(Define!B:B,MATCH(G46,Define!A:A))</f>
        <v>単体</v>
      </c>
      <c r="I46">
        <v>5</v>
      </c>
      <c r="J46">
        <v>2</v>
      </c>
      <c r="K46">
        <v>5</v>
      </c>
      <c r="L46" t="str">
        <f>INDEX(Define!E:E,MATCH(K46,Define!D:D))</f>
        <v>闇</v>
      </c>
      <c r="M46">
        <v>1</v>
      </c>
      <c r="N46" t="str">
        <f>INDEX(Define!H:H,MATCH(M46,Define!G:G))</f>
        <v>魔法</v>
      </c>
      <c r="O46">
        <v>1</v>
      </c>
      <c r="P46" t="str">
        <f>INDEX(Define!K:K,MATCH(O46,Define!J:J))</f>
        <v>相手</v>
      </c>
      <c r="Q46">
        <v>3</v>
      </c>
      <c r="R46" t="str">
        <f>INDEX(Define!N:N,MATCH(Q46,Define!M:M))</f>
        <v>全体</v>
      </c>
      <c r="S46">
        <v>2</v>
      </c>
      <c r="T46">
        <v>1</v>
      </c>
      <c r="U46">
        <v>1</v>
      </c>
      <c r="V46" s="5">
        <v>0</v>
      </c>
    </row>
    <row r="47" ht="12" customHeight="1" spans="1:22">
      <c r="A47">
        <v>5030</v>
      </c>
      <c r="B47">
        <v>5030</v>
      </c>
      <c r="C47" t="str">
        <f>INDEX(TextData!B:B,MATCH(B47,TextData!A:A))</f>
        <v>ドレインヒール</v>
      </c>
      <c r="D47">
        <v>5</v>
      </c>
      <c r="E47" t="str">
        <f>INDEX(Define!X:X,MATCH(D47,Define!W:W))</f>
        <v>超次元</v>
      </c>
      <c r="F47">
        <v>501</v>
      </c>
      <c r="G47">
        <v>1</v>
      </c>
      <c r="H47" t="str">
        <f>INDEX(Define!B:B,MATCH(G47,Define!A:A))</f>
        <v>単体</v>
      </c>
      <c r="I47">
        <v>5</v>
      </c>
      <c r="J47">
        <v>2</v>
      </c>
      <c r="K47">
        <v>5</v>
      </c>
      <c r="L47" t="str">
        <f>INDEX(Define!E:E,MATCH(K47,Define!D:D))</f>
        <v>闇</v>
      </c>
      <c r="M47">
        <v>1</v>
      </c>
      <c r="N47" t="str">
        <f>INDEX(Define!H:H,MATCH(M47,Define!G:G))</f>
        <v>魔法</v>
      </c>
      <c r="O47">
        <v>1</v>
      </c>
      <c r="P47" t="str">
        <f>INDEX(Define!K:K,MATCH(O47,Define!J:J))</f>
        <v>相手</v>
      </c>
      <c r="Q47">
        <v>1</v>
      </c>
      <c r="R47" t="str">
        <f>INDEX(Define!N:N,MATCH(Q47,Define!M:M))</f>
        <v>単体</v>
      </c>
      <c r="S47">
        <v>1</v>
      </c>
      <c r="T47">
        <v>1</v>
      </c>
      <c r="U47">
        <v>1</v>
      </c>
      <c r="V47" s="5">
        <v>0</v>
      </c>
    </row>
    <row r="48" ht="12" customHeight="1" spans="1:22">
      <c r="A48">
        <v>5040</v>
      </c>
      <c r="B48">
        <v>5040</v>
      </c>
      <c r="C48" t="str">
        <f>INDEX(TextData!B:B,MATCH(B48,TextData!A:A))</f>
        <v>アビサルデスペア</v>
      </c>
      <c r="D48">
        <v>5</v>
      </c>
      <c r="E48" t="str">
        <f>INDEX(Define!X:X,MATCH(D48,Define!W:W))</f>
        <v>超次元</v>
      </c>
      <c r="F48">
        <v>501</v>
      </c>
      <c r="G48">
        <v>1</v>
      </c>
      <c r="H48" t="str">
        <f>INDEX(Define!B:B,MATCH(G48,Define!A:A))</f>
        <v>単体</v>
      </c>
      <c r="I48">
        <v>3</v>
      </c>
      <c r="J48">
        <v>2</v>
      </c>
      <c r="K48">
        <v>5</v>
      </c>
      <c r="L48" t="str">
        <f>INDEX(Define!E:E,MATCH(K48,Define!D:D))</f>
        <v>闇</v>
      </c>
      <c r="M48">
        <v>1</v>
      </c>
      <c r="N48" t="str">
        <f>INDEX(Define!H:H,MATCH(M48,Define!G:G))</f>
        <v>魔法</v>
      </c>
      <c r="O48">
        <v>1</v>
      </c>
      <c r="P48" t="str">
        <f>INDEX(Define!K:K,MATCH(O48,Define!J:J))</f>
        <v>相手</v>
      </c>
      <c r="Q48">
        <v>1</v>
      </c>
      <c r="R48" t="str">
        <f>INDEX(Define!N:N,MATCH(Q48,Define!M:M))</f>
        <v>単体</v>
      </c>
      <c r="S48">
        <v>1</v>
      </c>
      <c r="T48">
        <v>1</v>
      </c>
      <c r="U48">
        <v>1</v>
      </c>
      <c r="V48" s="5">
        <v>0</v>
      </c>
    </row>
    <row r="49" s="5" customFormat="1" ht="12" customHeight="1" spans="1:22">
      <c r="A49" s="5">
        <v>5050</v>
      </c>
      <c r="B49" s="5">
        <v>5050</v>
      </c>
      <c r="C49" s="5" t="str">
        <f>INDEX(TextData!B:B,MATCH(B49,TextData!A:A))</f>
        <v>ディプラヴィティ</v>
      </c>
      <c r="D49" s="5">
        <v>3</v>
      </c>
      <c r="E49" s="5" t="str">
        <f>INDEX(Define!X:X,MATCH(D49,Define!W:W))</f>
        <v>理術</v>
      </c>
      <c r="F49" s="5">
        <v>501</v>
      </c>
      <c r="G49" s="5">
        <v>1</v>
      </c>
      <c r="H49" s="5" t="str">
        <f>INDEX(Define!B:B,MATCH(G49,Define!A:A))</f>
        <v>単体</v>
      </c>
      <c r="I49" s="5">
        <v>2</v>
      </c>
      <c r="J49" s="5">
        <v>2</v>
      </c>
      <c r="K49" s="5">
        <v>5</v>
      </c>
      <c r="L49" s="5" t="str">
        <f>INDEX(Define!E:E,MATCH(K49,Define!D:D))</f>
        <v>闇</v>
      </c>
      <c r="M49" s="5">
        <v>1</v>
      </c>
      <c r="N49" s="5" t="str">
        <f>INDEX(Define!H:H,MATCH(M49,Define!G:G))</f>
        <v>魔法</v>
      </c>
      <c r="O49" s="5">
        <v>1</v>
      </c>
      <c r="P49" s="5" t="str">
        <f>INDEX(Define!K:K,MATCH(O49,Define!J:J))</f>
        <v>相手</v>
      </c>
      <c r="Q49" s="5">
        <v>1</v>
      </c>
      <c r="R49" s="5" t="str">
        <f>INDEX(Define!N:N,MATCH(Q49,Define!M:M))</f>
        <v>単体</v>
      </c>
      <c r="S49" s="5">
        <v>1</v>
      </c>
      <c r="T49" s="5">
        <v>1</v>
      </c>
      <c r="U49" s="5">
        <v>1</v>
      </c>
      <c r="V49" s="5">
        <v>0</v>
      </c>
    </row>
    <row r="50" ht="12" customHeight="1" spans="1:22">
      <c r="A50">
        <v>5060</v>
      </c>
      <c r="B50">
        <v>5060</v>
      </c>
      <c r="C50" t="str">
        <f>INDEX(TextData!B:B,MATCH(B50,TextData!A:A))</f>
        <v>ダークネス</v>
      </c>
      <c r="D50">
        <v>3</v>
      </c>
      <c r="E50" t="str">
        <f>INDEX(Define!X:X,MATCH(D50,Define!W:W))</f>
        <v>理術</v>
      </c>
      <c r="F50">
        <v>61</v>
      </c>
      <c r="G50">
        <v>1</v>
      </c>
      <c r="H50" t="str">
        <f>INDEX(Define!B:B,MATCH(G50,Define!A:A))</f>
        <v>単体</v>
      </c>
      <c r="I50">
        <v>3</v>
      </c>
      <c r="J50">
        <v>2</v>
      </c>
      <c r="K50">
        <v>5</v>
      </c>
      <c r="L50" t="str">
        <f>INDEX(Define!E:E,MATCH(K50,Define!D:D))</f>
        <v>闇</v>
      </c>
      <c r="M50">
        <v>1</v>
      </c>
      <c r="N50" t="str">
        <f>INDEX(Define!H:H,MATCH(M50,Define!G:G))</f>
        <v>魔法</v>
      </c>
      <c r="O50">
        <v>1</v>
      </c>
      <c r="P50" t="str">
        <f>INDEX(Define!K:K,MATCH(O50,Define!J:J))</f>
        <v>相手</v>
      </c>
      <c r="Q50">
        <v>1</v>
      </c>
      <c r="R50" t="str">
        <f>INDEX(Define!N:N,MATCH(Q50,Define!M:M))</f>
        <v>単体</v>
      </c>
      <c r="S50">
        <v>1</v>
      </c>
      <c r="T50">
        <v>1</v>
      </c>
      <c r="U50">
        <v>1</v>
      </c>
      <c r="V50" s="5">
        <v>0</v>
      </c>
    </row>
    <row r="51" ht="12" customHeight="1" spans="1:22">
      <c r="A51">
        <v>5070</v>
      </c>
      <c r="B51">
        <v>5070</v>
      </c>
      <c r="C51" t="str">
        <f>INDEX(TextData!B:B,MATCH(B51,TextData!A:A))</f>
        <v>シェイディークラウド</v>
      </c>
      <c r="D51">
        <v>5</v>
      </c>
      <c r="E51" t="str">
        <f>INDEX(Define!X:X,MATCH(D51,Define!W:W))</f>
        <v>超次元</v>
      </c>
      <c r="F51">
        <v>61</v>
      </c>
      <c r="G51">
        <v>1</v>
      </c>
      <c r="H51" t="str">
        <f>INDEX(Define!B:B,MATCH(G51,Define!A:A))</f>
        <v>単体</v>
      </c>
      <c r="I51">
        <v>2</v>
      </c>
      <c r="J51">
        <v>2</v>
      </c>
      <c r="K51">
        <v>5</v>
      </c>
      <c r="L51" t="str">
        <f>INDEX(Define!E:E,MATCH(K51,Define!D:D))</f>
        <v>闇</v>
      </c>
      <c r="M51">
        <v>1</v>
      </c>
      <c r="N51" t="str">
        <f>INDEX(Define!H:H,MATCH(M51,Define!G:G))</f>
        <v>魔法</v>
      </c>
      <c r="O51">
        <v>1</v>
      </c>
      <c r="P51" t="str">
        <f>INDEX(Define!K:K,MATCH(O51,Define!J:J))</f>
        <v>相手</v>
      </c>
      <c r="Q51">
        <v>2</v>
      </c>
      <c r="R51" t="str">
        <f>INDEX(Define!N:N,MATCH(Q51,Define!M:M))</f>
        <v>列</v>
      </c>
      <c r="S51">
        <v>2</v>
      </c>
      <c r="T51">
        <v>1</v>
      </c>
      <c r="U51">
        <v>1</v>
      </c>
      <c r="V51" s="5">
        <v>0</v>
      </c>
    </row>
    <row r="52" ht="12" customHeight="1" spans="1:22">
      <c r="A52">
        <v>5080</v>
      </c>
      <c r="B52">
        <v>5080</v>
      </c>
      <c r="C52" t="str">
        <f>INDEX(TextData!B:B,MATCH(B52,TextData!A:A))</f>
        <v>ポイズンブロウ</v>
      </c>
      <c r="D52">
        <v>5</v>
      </c>
      <c r="E52" t="str">
        <f>INDEX(Define!X:X,MATCH(D52,Define!W:W))</f>
        <v>超次元</v>
      </c>
      <c r="F52">
        <v>501</v>
      </c>
      <c r="G52">
        <v>1</v>
      </c>
      <c r="H52" t="str">
        <f>INDEX(Define!B:B,MATCH(G52,Define!A:A))</f>
        <v>単体</v>
      </c>
      <c r="I52">
        <v>2</v>
      </c>
      <c r="J52">
        <v>2</v>
      </c>
      <c r="K52">
        <v>5</v>
      </c>
      <c r="L52" t="str">
        <f>INDEX(Define!E:E,MATCH(K52,Define!D:D))</f>
        <v>闇</v>
      </c>
      <c r="M52">
        <v>1</v>
      </c>
      <c r="N52" t="str">
        <f>INDEX(Define!H:H,MATCH(M52,Define!G:G))</f>
        <v>魔法</v>
      </c>
      <c r="O52">
        <v>1</v>
      </c>
      <c r="P52" t="str">
        <f>INDEX(Define!K:K,MATCH(O52,Define!J:J))</f>
        <v>相手</v>
      </c>
      <c r="Q52">
        <v>1</v>
      </c>
      <c r="R52" t="str">
        <f>INDEX(Define!N:N,MATCH(Q52,Define!M:M))</f>
        <v>単体</v>
      </c>
      <c r="S52">
        <v>1</v>
      </c>
      <c r="T52">
        <v>1</v>
      </c>
      <c r="U52">
        <v>1</v>
      </c>
      <c r="V52" s="5">
        <v>0</v>
      </c>
    </row>
    <row r="53" spans="1:22">
      <c r="A53">
        <v>10010</v>
      </c>
      <c r="B53">
        <v>10010</v>
      </c>
      <c r="C53" t="str">
        <f>INDEX(TextData!B:B,MATCH(B53,TextData!A:A))</f>
        <v>アンデッド</v>
      </c>
      <c r="D53">
        <v>6</v>
      </c>
      <c r="E53" t="str">
        <f>INDEX(Define!X:X,MATCH(D53,Define!W:W))</f>
        <v>自己強化</v>
      </c>
      <c r="F53">
        <v>51</v>
      </c>
      <c r="G53">
        <v>1</v>
      </c>
      <c r="H53" t="str">
        <f>INDEX(Define!B:B,MATCH(G53,Define!A:A))</f>
        <v>単体</v>
      </c>
      <c r="I53">
        <v>0</v>
      </c>
      <c r="J53">
        <v>0</v>
      </c>
      <c r="K53">
        <v>0</v>
      </c>
      <c r="L53" t="str">
        <f>INDEX(Define!E:E,MATCH(K53,Define!D:D))</f>
        <v>なし</v>
      </c>
      <c r="M53">
        <v>2</v>
      </c>
      <c r="N53" t="str">
        <f>INDEX(Define!H:H,MATCH(M53,Define!G:G))</f>
        <v>パッシブ</v>
      </c>
      <c r="O53">
        <v>4</v>
      </c>
      <c r="P53" t="str">
        <f>INDEX(Define!K:K,MATCH(O53,Define!J:J))</f>
        <v>自身</v>
      </c>
      <c r="Q53">
        <v>4</v>
      </c>
      <c r="R53" t="str">
        <f>INDEX(Define!N:N,MATCH(Q53,Define!M:M))</f>
        <v>自身</v>
      </c>
      <c r="S53">
        <v>1</v>
      </c>
      <c r="T53">
        <v>1</v>
      </c>
      <c r="U53">
        <v>1</v>
      </c>
      <c r="V53" s="5">
        <v>0</v>
      </c>
    </row>
    <row r="54" spans="1:22">
      <c r="A54">
        <v>10020</v>
      </c>
      <c r="B54">
        <v>10020</v>
      </c>
      <c r="C54" t="str">
        <f>INDEX(TextData!B:B,MATCH(B54,TextData!A:A))</f>
        <v>エアリアル</v>
      </c>
      <c r="D54">
        <v>6</v>
      </c>
      <c r="E54" t="str">
        <f>INDEX(Define!X:X,MATCH(D54,Define!W:W))</f>
        <v>自己強化</v>
      </c>
      <c r="F54">
        <v>51</v>
      </c>
      <c r="G54">
        <v>1</v>
      </c>
      <c r="H54" t="str">
        <f>INDEX(Define!B:B,MATCH(G54,Define!A:A))</f>
        <v>単体</v>
      </c>
      <c r="I54">
        <v>0</v>
      </c>
      <c r="J54">
        <v>0</v>
      </c>
      <c r="K54">
        <v>0</v>
      </c>
      <c r="L54" t="str">
        <f>INDEX(Define!E:E,MATCH(K54,Define!D:D))</f>
        <v>なし</v>
      </c>
      <c r="M54">
        <v>2</v>
      </c>
      <c r="N54" t="str">
        <f>INDEX(Define!H:H,MATCH(M54,Define!G:G))</f>
        <v>パッシブ</v>
      </c>
      <c r="O54">
        <v>4</v>
      </c>
      <c r="P54" t="str">
        <f>INDEX(Define!K:K,MATCH(O54,Define!J:J))</f>
        <v>自身</v>
      </c>
      <c r="Q54">
        <v>4</v>
      </c>
      <c r="R54" t="str">
        <f>INDEX(Define!N:N,MATCH(Q54,Define!M:M))</f>
        <v>自身</v>
      </c>
      <c r="S54">
        <v>1</v>
      </c>
      <c r="T54">
        <v>1</v>
      </c>
      <c r="U54">
        <v>1</v>
      </c>
      <c r="V54" s="5">
        <v>0</v>
      </c>
    </row>
    <row r="55" spans="1:22">
      <c r="A55">
        <v>10030</v>
      </c>
      <c r="B55">
        <v>10030</v>
      </c>
      <c r="C55" t="str">
        <f>INDEX(TextData!B:B,MATCH(B55,TextData!A:A))</f>
        <v>悪魔</v>
      </c>
      <c r="D55">
        <v>6</v>
      </c>
      <c r="E55" t="str">
        <f>INDEX(Define!X:X,MATCH(D55,Define!W:W))</f>
        <v>自己強化</v>
      </c>
      <c r="F55">
        <v>51</v>
      </c>
      <c r="G55">
        <v>1</v>
      </c>
      <c r="H55" t="str">
        <f>INDEX(Define!B:B,MATCH(G55,Define!A:A))</f>
        <v>単体</v>
      </c>
      <c r="I55">
        <v>0</v>
      </c>
      <c r="J55">
        <v>0</v>
      </c>
      <c r="K55">
        <v>0</v>
      </c>
      <c r="L55" t="str">
        <f>INDEX(Define!E:E,MATCH(K55,Define!D:D))</f>
        <v>なし</v>
      </c>
      <c r="M55">
        <v>2</v>
      </c>
      <c r="N55" t="str">
        <f>INDEX(Define!H:H,MATCH(M55,Define!G:G))</f>
        <v>パッシブ</v>
      </c>
      <c r="O55">
        <v>4</v>
      </c>
      <c r="P55" t="str">
        <f>INDEX(Define!K:K,MATCH(O55,Define!J:J))</f>
        <v>自身</v>
      </c>
      <c r="Q55">
        <v>4</v>
      </c>
      <c r="R55" t="str">
        <f>INDEX(Define!N:N,MATCH(Q55,Define!M:M))</f>
        <v>自身</v>
      </c>
      <c r="S55">
        <v>1</v>
      </c>
      <c r="T55">
        <v>1</v>
      </c>
      <c r="U55">
        <v>1</v>
      </c>
      <c r="V55" s="5">
        <v>0</v>
      </c>
    </row>
    <row r="56" spans="1:22">
      <c r="A56">
        <v>10040</v>
      </c>
      <c r="B56">
        <v>10040</v>
      </c>
      <c r="C56" t="str">
        <f>INDEX(TextData!B:B,MATCH(B56,TextData!A:A))</f>
        <v>クリーチャー</v>
      </c>
      <c r="D56">
        <v>6</v>
      </c>
      <c r="E56" t="str">
        <f>INDEX(Define!X:X,MATCH(D56,Define!W:W))</f>
        <v>自己強化</v>
      </c>
      <c r="F56">
        <v>51</v>
      </c>
      <c r="G56">
        <v>1</v>
      </c>
      <c r="H56" t="str">
        <f>INDEX(Define!B:B,MATCH(G56,Define!A:A))</f>
        <v>単体</v>
      </c>
      <c r="I56">
        <v>0</v>
      </c>
      <c r="J56">
        <v>0</v>
      </c>
      <c r="K56">
        <v>0</v>
      </c>
      <c r="L56" t="str">
        <f>INDEX(Define!E:E,MATCH(K56,Define!D:D))</f>
        <v>なし</v>
      </c>
      <c r="M56">
        <v>2</v>
      </c>
      <c r="N56" t="str">
        <f>INDEX(Define!H:H,MATCH(M56,Define!G:G))</f>
        <v>パッシブ</v>
      </c>
      <c r="O56">
        <v>4</v>
      </c>
      <c r="P56" t="str">
        <f>INDEX(Define!K:K,MATCH(O56,Define!J:J))</f>
        <v>自身</v>
      </c>
      <c r="Q56">
        <v>4</v>
      </c>
      <c r="R56" t="str">
        <f>INDEX(Define!N:N,MATCH(Q56,Define!M:M))</f>
        <v>自身</v>
      </c>
      <c r="S56">
        <v>1</v>
      </c>
      <c r="T56">
        <v>1</v>
      </c>
      <c r="U56">
        <v>1</v>
      </c>
      <c r="V56" s="5">
        <v>0</v>
      </c>
    </row>
    <row r="57" spans="1:22">
      <c r="A57">
        <v>10050</v>
      </c>
      <c r="B57">
        <v>10050</v>
      </c>
      <c r="C57" t="str">
        <f>INDEX(TextData!B:B,MATCH(B57,TextData!A:A))</f>
        <v>野生の記憶</v>
      </c>
      <c r="D57">
        <v>6</v>
      </c>
      <c r="E57" t="str">
        <f>INDEX(Define!X:X,MATCH(D57,Define!W:W))</f>
        <v>自己強化</v>
      </c>
      <c r="F57">
        <v>51</v>
      </c>
      <c r="G57">
        <v>1</v>
      </c>
      <c r="H57" t="str">
        <f>INDEX(Define!B:B,MATCH(G57,Define!A:A))</f>
        <v>単体</v>
      </c>
      <c r="I57">
        <v>0</v>
      </c>
      <c r="J57">
        <v>0</v>
      </c>
      <c r="K57">
        <v>0</v>
      </c>
      <c r="L57" t="str">
        <f>INDEX(Define!E:E,MATCH(K57,Define!D:D))</f>
        <v>なし</v>
      </c>
      <c r="M57">
        <v>2</v>
      </c>
      <c r="N57" t="str">
        <f>INDEX(Define!H:H,MATCH(M57,Define!G:G))</f>
        <v>パッシブ</v>
      </c>
      <c r="O57">
        <v>4</v>
      </c>
      <c r="P57" t="str">
        <f>INDEX(Define!K:K,MATCH(O57,Define!J:J))</f>
        <v>自身</v>
      </c>
      <c r="Q57">
        <v>4</v>
      </c>
      <c r="R57" t="str">
        <f>INDEX(Define!N:N,MATCH(Q57,Define!M:M))</f>
        <v>自身</v>
      </c>
      <c r="S57">
        <v>1</v>
      </c>
      <c r="T57">
        <v>1</v>
      </c>
      <c r="U57">
        <v>1</v>
      </c>
      <c r="V57" s="5">
        <v>0</v>
      </c>
    </row>
    <row r="58" spans="1:22">
      <c r="A58">
        <v>10060</v>
      </c>
      <c r="B58">
        <v>10060</v>
      </c>
      <c r="C58" t="str">
        <f>INDEX(TextData!B:B,MATCH(B58,TextData!A:A))</f>
        <v>変異生物</v>
      </c>
      <c r="D58">
        <v>6</v>
      </c>
      <c r="E58" t="str">
        <f>INDEX(Define!X:X,MATCH(D58,Define!W:W))</f>
        <v>自己強化</v>
      </c>
      <c r="F58">
        <v>51</v>
      </c>
      <c r="G58">
        <v>1</v>
      </c>
      <c r="H58" t="str">
        <f>INDEX(Define!B:B,MATCH(G58,Define!A:A))</f>
        <v>単体</v>
      </c>
      <c r="I58">
        <v>0</v>
      </c>
      <c r="J58">
        <v>0</v>
      </c>
      <c r="K58">
        <v>0</v>
      </c>
      <c r="L58" t="str">
        <f>INDEX(Define!E:E,MATCH(K58,Define!D:D))</f>
        <v>なし</v>
      </c>
      <c r="M58">
        <v>2</v>
      </c>
      <c r="N58" t="str">
        <f>INDEX(Define!H:H,MATCH(M58,Define!G:G))</f>
        <v>パッシブ</v>
      </c>
      <c r="O58">
        <v>4</v>
      </c>
      <c r="P58" t="str">
        <f>INDEX(Define!K:K,MATCH(O58,Define!J:J))</f>
        <v>自身</v>
      </c>
      <c r="Q58">
        <v>4</v>
      </c>
      <c r="R58" t="str">
        <f>INDEX(Define!N:N,MATCH(Q58,Define!M:M))</f>
        <v>自身</v>
      </c>
      <c r="S58">
        <v>1</v>
      </c>
      <c r="T58">
        <v>1</v>
      </c>
      <c r="U58">
        <v>1</v>
      </c>
      <c r="V58" s="5">
        <v>0</v>
      </c>
    </row>
    <row r="59" spans="1:22">
      <c r="A59">
        <v>11010</v>
      </c>
      <c r="B59">
        <v>11010</v>
      </c>
      <c r="C59" t="str">
        <f>INDEX(TextData!B:B,MATCH(B59,TextData!A:A))</f>
        <v>ウルフソウル</v>
      </c>
      <c r="D59">
        <v>6</v>
      </c>
      <c r="E59" t="str">
        <f>INDEX(Define!X:X,MATCH(D59,Define!W:W))</f>
        <v>自己強化</v>
      </c>
      <c r="F59">
        <v>51</v>
      </c>
      <c r="G59">
        <v>1</v>
      </c>
      <c r="H59" t="str">
        <f>INDEX(Define!B:B,MATCH(G59,Define!A:A))</f>
        <v>単体</v>
      </c>
      <c r="I59">
        <v>0</v>
      </c>
      <c r="J59">
        <v>10</v>
      </c>
      <c r="K59">
        <v>1</v>
      </c>
      <c r="L59" t="str">
        <f>INDEX(Define!E:E,MATCH(K59,Define!D:D))</f>
        <v>炎</v>
      </c>
      <c r="M59">
        <v>2</v>
      </c>
      <c r="N59" t="str">
        <f>INDEX(Define!H:H,MATCH(M59,Define!G:G))</f>
        <v>パッシブ</v>
      </c>
      <c r="O59">
        <v>4</v>
      </c>
      <c r="P59" t="str">
        <f>INDEX(Define!K:K,MATCH(O59,Define!J:J))</f>
        <v>自身</v>
      </c>
      <c r="Q59">
        <v>4</v>
      </c>
      <c r="R59" t="str">
        <f>INDEX(Define!N:N,MATCH(Q59,Define!M:M))</f>
        <v>自身</v>
      </c>
      <c r="S59">
        <v>1</v>
      </c>
      <c r="T59">
        <v>1</v>
      </c>
      <c r="U59">
        <v>1</v>
      </c>
      <c r="V59" s="5">
        <v>0</v>
      </c>
    </row>
    <row r="60" spans="1:22">
      <c r="A60">
        <v>11020</v>
      </c>
      <c r="B60">
        <v>11020</v>
      </c>
      <c r="C60" t="str">
        <f>INDEX(TextData!B:B,MATCH(B60,TextData!A:A))</f>
        <v>プリディカメント</v>
      </c>
      <c r="D60">
        <v>6</v>
      </c>
      <c r="E60" t="str">
        <f>INDEX(Define!X:X,MATCH(D60,Define!W:W))</f>
        <v>自己強化</v>
      </c>
      <c r="F60">
        <v>51</v>
      </c>
      <c r="G60">
        <v>1</v>
      </c>
      <c r="H60" t="str">
        <f>INDEX(Define!B:B,MATCH(G60,Define!A:A))</f>
        <v>単体</v>
      </c>
      <c r="I60">
        <v>0</v>
      </c>
      <c r="J60">
        <v>10</v>
      </c>
      <c r="K60">
        <v>1</v>
      </c>
      <c r="L60" t="str">
        <f>INDEX(Define!E:E,MATCH(K60,Define!D:D))</f>
        <v>炎</v>
      </c>
      <c r="M60">
        <v>2</v>
      </c>
      <c r="N60" t="str">
        <f>INDEX(Define!H:H,MATCH(M60,Define!G:G))</f>
        <v>パッシブ</v>
      </c>
      <c r="O60">
        <v>4</v>
      </c>
      <c r="P60" t="str">
        <f>INDEX(Define!K:K,MATCH(O60,Define!J:J))</f>
        <v>自身</v>
      </c>
      <c r="Q60">
        <v>4</v>
      </c>
      <c r="R60" t="str">
        <f>INDEX(Define!N:N,MATCH(Q60,Define!M:M))</f>
        <v>自身</v>
      </c>
      <c r="S60">
        <v>1</v>
      </c>
      <c r="T60">
        <v>1</v>
      </c>
      <c r="U60">
        <v>1</v>
      </c>
      <c r="V60" s="5">
        <v>0</v>
      </c>
    </row>
    <row r="61" spans="1:22">
      <c r="A61">
        <v>11030</v>
      </c>
      <c r="B61">
        <v>11030</v>
      </c>
      <c r="C61" t="str">
        <f>INDEX(TextData!B:B,MATCH(B61,TextData!A:A))</f>
        <v>アサルトシフト</v>
      </c>
      <c r="D61">
        <v>6</v>
      </c>
      <c r="E61" t="str">
        <f>INDEX(Define!X:X,MATCH(D61,Define!W:W))</f>
        <v>自己強化</v>
      </c>
      <c r="F61">
        <v>51</v>
      </c>
      <c r="G61">
        <v>1</v>
      </c>
      <c r="H61" t="str">
        <f>INDEX(Define!B:B,MATCH(G61,Define!A:A))</f>
        <v>単体</v>
      </c>
      <c r="I61">
        <v>0</v>
      </c>
      <c r="J61">
        <v>10</v>
      </c>
      <c r="K61">
        <v>1</v>
      </c>
      <c r="L61" t="str">
        <f>INDEX(Define!E:E,MATCH(K61,Define!D:D))</f>
        <v>炎</v>
      </c>
      <c r="M61">
        <v>2</v>
      </c>
      <c r="N61" t="str">
        <f>INDEX(Define!H:H,MATCH(M61,Define!G:G))</f>
        <v>パッシブ</v>
      </c>
      <c r="O61">
        <v>4</v>
      </c>
      <c r="P61" t="str">
        <f>INDEX(Define!K:K,MATCH(O61,Define!J:J))</f>
        <v>自身</v>
      </c>
      <c r="Q61">
        <v>4</v>
      </c>
      <c r="R61" t="str">
        <f>INDEX(Define!N:N,MATCH(Q61,Define!M:M))</f>
        <v>自身</v>
      </c>
      <c r="S61">
        <v>1</v>
      </c>
      <c r="T61">
        <v>1</v>
      </c>
      <c r="U61">
        <v>1</v>
      </c>
      <c r="V61" s="5">
        <v>0</v>
      </c>
    </row>
    <row r="62" spans="1:22">
      <c r="A62">
        <v>11040</v>
      </c>
      <c r="B62">
        <v>11040</v>
      </c>
      <c r="C62" t="str">
        <f>INDEX(TextData!B:B,MATCH(B62,TextData!A:A))</f>
        <v>アクティブギフト</v>
      </c>
      <c r="D62">
        <v>6</v>
      </c>
      <c r="E62" t="str">
        <f>INDEX(Define!X:X,MATCH(D62,Define!W:W))</f>
        <v>自己強化</v>
      </c>
      <c r="F62">
        <v>51</v>
      </c>
      <c r="G62">
        <v>1</v>
      </c>
      <c r="H62" t="str">
        <f>INDEX(Define!B:B,MATCH(G62,Define!A:A))</f>
        <v>単体</v>
      </c>
      <c r="I62">
        <v>4</v>
      </c>
      <c r="J62">
        <v>10</v>
      </c>
      <c r="K62">
        <v>1</v>
      </c>
      <c r="L62" t="str">
        <f>INDEX(Define!E:E,MATCH(K62,Define!D:D))</f>
        <v>炎</v>
      </c>
      <c r="M62">
        <v>2</v>
      </c>
      <c r="N62" t="str">
        <f>INDEX(Define!H:H,MATCH(M62,Define!G:G))</f>
        <v>パッシブ</v>
      </c>
      <c r="O62">
        <v>11</v>
      </c>
      <c r="P62" t="str">
        <f>INDEX(Define!K:K,MATCH(O62,Define!J:J))</f>
        <v>Triggerの条件を満たす</v>
      </c>
      <c r="Q62">
        <v>1</v>
      </c>
      <c r="R62" t="str">
        <f>INDEX(Define!N:N,MATCH(Q62,Define!M:M))</f>
        <v>単体</v>
      </c>
      <c r="S62">
        <v>1</v>
      </c>
      <c r="T62">
        <v>1</v>
      </c>
      <c r="U62">
        <v>1</v>
      </c>
      <c r="V62" s="5">
        <v>1</v>
      </c>
    </row>
    <row r="63" spans="1:22">
      <c r="A63">
        <v>11050</v>
      </c>
      <c r="B63">
        <v>11050</v>
      </c>
      <c r="C63" t="str">
        <f>INDEX(TextData!B:B,MATCH(B63,TextData!A:A))</f>
        <v>イグナイテッド</v>
      </c>
      <c r="D63">
        <v>6</v>
      </c>
      <c r="E63" t="str">
        <f>INDEX(Define!X:X,MATCH(D63,Define!W:W))</f>
        <v>自己強化</v>
      </c>
      <c r="F63">
        <v>51</v>
      </c>
      <c r="G63">
        <v>1</v>
      </c>
      <c r="H63" t="str">
        <f>INDEX(Define!B:B,MATCH(G63,Define!A:A))</f>
        <v>単体</v>
      </c>
      <c r="I63">
        <v>0</v>
      </c>
      <c r="J63">
        <v>10</v>
      </c>
      <c r="K63">
        <v>1</v>
      </c>
      <c r="L63" t="str">
        <f>INDEX(Define!E:E,MATCH(K63,Define!D:D))</f>
        <v>炎</v>
      </c>
      <c r="M63">
        <v>2</v>
      </c>
      <c r="N63" t="str">
        <f>INDEX(Define!H:H,MATCH(M63,Define!G:G))</f>
        <v>パッシブ</v>
      </c>
      <c r="O63">
        <v>4</v>
      </c>
      <c r="P63" t="str">
        <f>INDEX(Define!K:K,MATCH(O63,Define!J:J))</f>
        <v>自身</v>
      </c>
      <c r="Q63">
        <v>4</v>
      </c>
      <c r="R63" t="str">
        <f>INDEX(Define!N:N,MATCH(Q63,Define!M:M))</f>
        <v>自身</v>
      </c>
      <c r="S63">
        <v>1</v>
      </c>
      <c r="T63">
        <v>1</v>
      </c>
      <c r="U63">
        <v>1</v>
      </c>
      <c r="V63" s="5">
        <v>0</v>
      </c>
    </row>
    <row r="64" spans="1:22">
      <c r="A64">
        <v>11060</v>
      </c>
      <c r="B64">
        <v>11060</v>
      </c>
      <c r="C64" t="str">
        <f>INDEX(TextData!B:B,MATCH(B64,TextData!A:A))</f>
        <v>ライジングファイア</v>
      </c>
      <c r="D64">
        <v>6</v>
      </c>
      <c r="E64" t="str">
        <f>INDEX(Define!X:X,MATCH(D64,Define!W:W))</f>
        <v>自己強化</v>
      </c>
      <c r="F64">
        <v>51</v>
      </c>
      <c r="G64">
        <v>1</v>
      </c>
      <c r="H64" t="str">
        <f>INDEX(Define!B:B,MATCH(G64,Define!A:A))</f>
        <v>単体</v>
      </c>
      <c r="I64">
        <v>0</v>
      </c>
      <c r="J64">
        <v>20</v>
      </c>
      <c r="K64">
        <v>1</v>
      </c>
      <c r="L64" t="str">
        <f>INDEX(Define!E:E,MATCH(K64,Define!D:D))</f>
        <v>炎</v>
      </c>
      <c r="M64">
        <v>2</v>
      </c>
      <c r="N64" t="str">
        <f>INDEX(Define!H:H,MATCH(M64,Define!G:G))</f>
        <v>パッシブ</v>
      </c>
      <c r="O64">
        <v>4</v>
      </c>
      <c r="P64" t="str">
        <f>INDEX(Define!K:K,MATCH(O64,Define!J:J))</f>
        <v>自身</v>
      </c>
      <c r="Q64">
        <v>4</v>
      </c>
      <c r="R64" t="str">
        <f>INDEX(Define!N:N,MATCH(Q64,Define!M:M))</f>
        <v>自身</v>
      </c>
      <c r="S64">
        <v>1</v>
      </c>
      <c r="T64">
        <v>1</v>
      </c>
      <c r="U64">
        <v>1</v>
      </c>
      <c r="V64" s="5">
        <v>0</v>
      </c>
    </row>
    <row r="65" spans="1:22">
      <c r="A65">
        <v>11070</v>
      </c>
      <c r="B65">
        <v>11070</v>
      </c>
      <c r="C65" t="str">
        <f>INDEX(TextData!B:B,MATCH(B65,TextData!A:A))</f>
        <v>ルージュバック</v>
      </c>
      <c r="D65">
        <v>6</v>
      </c>
      <c r="E65" t="str">
        <f>INDEX(Define!X:X,MATCH(D65,Define!W:W))</f>
        <v>自己強化</v>
      </c>
      <c r="F65">
        <v>51</v>
      </c>
      <c r="G65">
        <v>1</v>
      </c>
      <c r="H65" t="str">
        <f>INDEX(Define!B:B,MATCH(G65,Define!A:A))</f>
        <v>単体</v>
      </c>
      <c r="I65">
        <v>0</v>
      </c>
      <c r="J65">
        <v>20</v>
      </c>
      <c r="K65">
        <v>1</v>
      </c>
      <c r="L65" t="str">
        <f>INDEX(Define!E:E,MATCH(K65,Define!D:D))</f>
        <v>炎</v>
      </c>
      <c r="M65">
        <v>2</v>
      </c>
      <c r="N65" t="str">
        <f>INDEX(Define!H:H,MATCH(M65,Define!G:G))</f>
        <v>パッシブ</v>
      </c>
      <c r="O65">
        <v>4</v>
      </c>
      <c r="P65" t="str">
        <f>INDEX(Define!K:K,MATCH(O65,Define!J:J))</f>
        <v>自身</v>
      </c>
      <c r="Q65">
        <v>4</v>
      </c>
      <c r="R65" t="str">
        <f>INDEX(Define!N:N,MATCH(Q65,Define!M:M))</f>
        <v>自身</v>
      </c>
      <c r="S65">
        <v>1</v>
      </c>
      <c r="T65">
        <v>1</v>
      </c>
      <c r="U65">
        <v>1</v>
      </c>
      <c r="V65" s="5">
        <v>0</v>
      </c>
    </row>
    <row r="66" spans="1:22">
      <c r="A66">
        <v>11080</v>
      </c>
      <c r="B66">
        <v>11080</v>
      </c>
      <c r="C66" t="str">
        <f>INDEX(TextData!B:B,MATCH(B66,TextData!A:A))</f>
        <v>パワーエール</v>
      </c>
      <c r="D66">
        <v>6</v>
      </c>
      <c r="E66" t="str">
        <f>INDEX(Define!X:X,MATCH(D66,Define!W:W))</f>
        <v>自己強化</v>
      </c>
      <c r="F66">
        <v>51</v>
      </c>
      <c r="G66">
        <v>1</v>
      </c>
      <c r="H66" t="str">
        <f>INDEX(Define!B:B,MATCH(G66,Define!A:A))</f>
        <v>単体</v>
      </c>
      <c r="I66">
        <v>3</v>
      </c>
      <c r="J66">
        <v>20</v>
      </c>
      <c r="K66">
        <v>1</v>
      </c>
      <c r="L66" t="str">
        <f>INDEX(Define!E:E,MATCH(K66,Define!D:D))</f>
        <v>炎</v>
      </c>
      <c r="M66">
        <v>2</v>
      </c>
      <c r="N66" t="str">
        <f>INDEX(Define!H:H,MATCH(M66,Define!G:G))</f>
        <v>パッシブ</v>
      </c>
      <c r="O66">
        <v>11</v>
      </c>
      <c r="P66" t="str">
        <f>INDEX(Define!K:K,MATCH(O66,Define!J:J))</f>
        <v>Triggerの条件を満たす</v>
      </c>
      <c r="Q66">
        <v>1</v>
      </c>
      <c r="R66" t="str">
        <f>INDEX(Define!N:N,MATCH(Q66,Define!M:M))</f>
        <v>単体</v>
      </c>
      <c r="S66">
        <v>1</v>
      </c>
      <c r="T66">
        <v>1</v>
      </c>
      <c r="U66">
        <v>1</v>
      </c>
      <c r="V66" s="5">
        <v>1</v>
      </c>
    </row>
    <row r="67" spans="1:22">
      <c r="A67">
        <v>11090</v>
      </c>
      <c r="B67">
        <v>11090</v>
      </c>
      <c r="C67" t="str">
        <f>INDEX(TextData!B:B,MATCH(B67,TextData!A:A))</f>
        <v>スレイプニル</v>
      </c>
      <c r="D67">
        <v>6</v>
      </c>
      <c r="E67" t="str">
        <f>INDEX(Define!X:X,MATCH(D67,Define!W:W))</f>
        <v>自己強化</v>
      </c>
      <c r="F67">
        <v>51</v>
      </c>
      <c r="G67">
        <v>1</v>
      </c>
      <c r="H67" t="str">
        <f>INDEX(Define!B:B,MATCH(G67,Define!A:A))</f>
        <v>単体</v>
      </c>
      <c r="I67">
        <v>3</v>
      </c>
      <c r="J67">
        <v>20</v>
      </c>
      <c r="K67">
        <v>1</v>
      </c>
      <c r="L67" t="str">
        <f>INDEX(Define!E:E,MATCH(K67,Define!D:D))</f>
        <v>炎</v>
      </c>
      <c r="M67">
        <v>2</v>
      </c>
      <c r="N67" t="str">
        <f>INDEX(Define!H:H,MATCH(M67,Define!G:G))</f>
        <v>パッシブ</v>
      </c>
      <c r="O67">
        <v>4</v>
      </c>
      <c r="P67" t="str">
        <f>INDEX(Define!K:K,MATCH(O67,Define!J:J))</f>
        <v>自身</v>
      </c>
      <c r="Q67">
        <v>4</v>
      </c>
      <c r="R67" t="str">
        <f>INDEX(Define!N:N,MATCH(Q67,Define!M:M))</f>
        <v>自身</v>
      </c>
      <c r="S67">
        <v>1</v>
      </c>
      <c r="T67">
        <v>1</v>
      </c>
      <c r="U67">
        <v>1</v>
      </c>
      <c r="V67" s="5">
        <v>0</v>
      </c>
    </row>
    <row r="68" spans="1:22">
      <c r="A68">
        <v>12010</v>
      </c>
      <c r="B68">
        <v>12010</v>
      </c>
      <c r="C68" t="str">
        <f>INDEX(TextData!B:B,MATCH(B68,TextData!A:A))</f>
        <v>エクステンション</v>
      </c>
      <c r="D68">
        <v>6</v>
      </c>
      <c r="E68" t="str">
        <f>INDEX(Define!X:X,MATCH(D68,Define!W:W))</f>
        <v>自己強化</v>
      </c>
      <c r="F68">
        <v>51</v>
      </c>
      <c r="G68">
        <v>1</v>
      </c>
      <c r="H68" t="str">
        <f>INDEX(Define!B:B,MATCH(G68,Define!A:A))</f>
        <v>単体</v>
      </c>
      <c r="I68">
        <v>0</v>
      </c>
      <c r="J68">
        <v>10</v>
      </c>
      <c r="K68">
        <v>2</v>
      </c>
      <c r="L68" t="str">
        <f>INDEX(Define!E:E,MATCH(K68,Define!D:D))</f>
        <v>雷</v>
      </c>
      <c r="M68">
        <v>2</v>
      </c>
      <c r="N68" t="str">
        <f>INDEX(Define!H:H,MATCH(M68,Define!G:G))</f>
        <v>パッシブ</v>
      </c>
      <c r="O68">
        <v>4</v>
      </c>
      <c r="P68" t="str">
        <f>INDEX(Define!K:K,MATCH(O68,Define!J:J))</f>
        <v>自身</v>
      </c>
      <c r="Q68">
        <v>4</v>
      </c>
      <c r="R68" t="str">
        <f>INDEX(Define!N:N,MATCH(Q68,Define!M:M))</f>
        <v>自身</v>
      </c>
      <c r="S68">
        <v>1</v>
      </c>
      <c r="T68">
        <v>1</v>
      </c>
      <c r="U68">
        <v>1</v>
      </c>
      <c r="V68" s="5">
        <v>0</v>
      </c>
    </row>
    <row r="69" spans="1:22">
      <c r="A69">
        <v>12020</v>
      </c>
      <c r="B69">
        <v>12020</v>
      </c>
      <c r="C69" t="str">
        <f>INDEX(TextData!B:B,MATCH(B69,TextData!A:A))</f>
        <v>ヘブンリーラック</v>
      </c>
      <c r="D69">
        <v>6</v>
      </c>
      <c r="E69" t="str">
        <f>INDEX(Define!X:X,MATCH(D69,Define!W:W))</f>
        <v>自己強化</v>
      </c>
      <c r="F69">
        <v>51</v>
      </c>
      <c r="G69">
        <v>1</v>
      </c>
      <c r="H69" t="str">
        <f>INDEX(Define!B:B,MATCH(G69,Define!A:A))</f>
        <v>単体</v>
      </c>
      <c r="I69">
        <v>0</v>
      </c>
      <c r="J69">
        <v>10</v>
      </c>
      <c r="K69">
        <v>2</v>
      </c>
      <c r="L69" t="str">
        <f>INDEX(Define!E:E,MATCH(K69,Define!D:D))</f>
        <v>雷</v>
      </c>
      <c r="M69">
        <v>2</v>
      </c>
      <c r="N69" t="str">
        <f>INDEX(Define!H:H,MATCH(M69,Define!G:G))</f>
        <v>パッシブ</v>
      </c>
      <c r="O69">
        <v>4</v>
      </c>
      <c r="P69" t="str">
        <f>INDEX(Define!K:K,MATCH(O69,Define!J:J))</f>
        <v>自身</v>
      </c>
      <c r="Q69">
        <v>4</v>
      </c>
      <c r="R69" t="str">
        <f>INDEX(Define!N:N,MATCH(Q69,Define!M:M))</f>
        <v>自身</v>
      </c>
      <c r="S69">
        <v>1</v>
      </c>
      <c r="T69">
        <v>1</v>
      </c>
      <c r="U69">
        <v>1</v>
      </c>
      <c r="V69" s="5">
        <v>0</v>
      </c>
    </row>
    <row r="70" spans="1:22">
      <c r="A70">
        <v>12030</v>
      </c>
      <c r="B70">
        <v>12030</v>
      </c>
      <c r="C70" t="str">
        <f>INDEX(TextData!B:B,MATCH(B70,TextData!A:A))</f>
        <v>スウィフトカレント</v>
      </c>
      <c r="D70">
        <v>6</v>
      </c>
      <c r="E70" t="str">
        <f>INDEX(Define!X:X,MATCH(D70,Define!W:W))</f>
        <v>自己強化</v>
      </c>
      <c r="F70">
        <v>51</v>
      </c>
      <c r="G70">
        <v>1</v>
      </c>
      <c r="H70" t="str">
        <f>INDEX(Define!B:B,MATCH(G70,Define!A:A))</f>
        <v>単体</v>
      </c>
      <c r="I70">
        <v>0</v>
      </c>
      <c r="J70">
        <v>10</v>
      </c>
      <c r="K70">
        <v>2</v>
      </c>
      <c r="L70" t="str">
        <f>INDEX(Define!E:E,MATCH(K70,Define!D:D))</f>
        <v>雷</v>
      </c>
      <c r="M70">
        <v>2</v>
      </c>
      <c r="N70" t="str">
        <f>INDEX(Define!H:H,MATCH(M70,Define!G:G))</f>
        <v>パッシブ</v>
      </c>
      <c r="O70">
        <v>4</v>
      </c>
      <c r="P70" t="str">
        <f>INDEX(Define!K:K,MATCH(O70,Define!J:J))</f>
        <v>自身</v>
      </c>
      <c r="Q70">
        <v>4</v>
      </c>
      <c r="R70" t="str">
        <f>INDEX(Define!N:N,MATCH(Q70,Define!M:M))</f>
        <v>自身</v>
      </c>
      <c r="S70">
        <v>1</v>
      </c>
      <c r="T70">
        <v>1</v>
      </c>
      <c r="U70">
        <v>1</v>
      </c>
      <c r="V70" s="5">
        <v>0</v>
      </c>
    </row>
    <row r="71" spans="1:22">
      <c r="A71">
        <v>12040</v>
      </c>
      <c r="B71">
        <v>12040</v>
      </c>
      <c r="C71" t="str">
        <f>INDEX(TextData!B:B,MATCH(B71,TextData!A:A))</f>
        <v>イヴェイドオール</v>
      </c>
      <c r="D71">
        <v>6</v>
      </c>
      <c r="E71" t="str">
        <f>INDEX(Define!X:X,MATCH(D71,Define!W:W))</f>
        <v>自己強化</v>
      </c>
      <c r="F71">
        <v>51</v>
      </c>
      <c r="G71">
        <v>1</v>
      </c>
      <c r="H71" t="str">
        <f>INDEX(Define!B:B,MATCH(G71,Define!A:A))</f>
        <v>単体</v>
      </c>
      <c r="I71">
        <v>0</v>
      </c>
      <c r="J71">
        <v>10</v>
      </c>
      <c r="K71">
        <v>2</v>
      </c>
      <c r="L71" t="str">
        <f>INDEX(Define!E:E,MATCH(K71,Define!D:D))</f>
        <v>雷</v>
      </c>
      <c r="M71">
        <v>2</v>
      </c>
      <c r="N71" t="str">
        <f>INDEX(Define!H:H,MATCH(M71,Define!G:G))</f>
        <v>パッシブ</v>
      </c>
      <c r="O71">
        <v>2</v>
      </c>
      <c r="P71" t="str">
        <f>INDEX(Define!K:K,MATCH(O71,Define!J:J))</f>
        <v>味方</v>
      </c>
      <c r="Q71">
        <v>2</v>
      </c>
      <c r="R71" t="str">
        <f>INDEX(Define!N:N,MATCH(Q71,Define!M:M))</f>
        <v>列</v>
      </c>
      <c r="S71">
        <v>1</v>
      </c>
      <c r="T71">
        <v>1</v>
      </c>
      <c r="U71">
        <v>1</v>
      </c>
      <c r="V71" s="5">
        <v>0</v>
      </c>
    </row>
    <row r="72" spans="1:22">
      <c r="A72">
        <v>12050</v>
      </c>
      <c r="B72">
        <v>12050</v>
      </c>
      <c r="C72" t="str">
        <f>INDEX(TextData!B:B,MATCH(B72,TextData!A:A))</f>
        <v>クイックムーブ</v>
      </c>
      <c r="D72">
        <v>6</v>
      </c>
      <c r="E72" t="str">
        <f>INDEX(Define!X:X,MATCH(D72,Define!W:W))</f>
        <v>自己強化</v>
      </c>
      <c r="F72">
        <v>51</v>
      </c>
      <c r="G72">
        <v>1</v>
      </c>
      <c r="H72" t="str">
        <f>INDEX(Define!B:B,MATCH(G72,Define!A:A))</f>
        <v>単体</v>
      </c>
      <c r="I72">
        <v>0</v>
      </c>
      <c r="J72">
        <v>10</v>
      </c>
      <c r="K72">
        <v>2</v>
      </c>
      <c r="L72" t="str">
        <f>INDEX(Define!E:E,MATCH(K72,Define!D:D))</f>
        <v>雷</v>
      </c>
      <c r="M72">
        <v>2</v>
      </c>
      <c r="N72" t="str">
        <f>INDEX(Define!H:H,MATCH(M72,Define!G:G))</f>
        <v>パッシブ</v>
      </c>
      <c r="O72">
        <v>4</v>
      </c>
      <c r="P72" t="str">
        <f>INDEX(Define!K:K,MATCH(O72,Define!J:J))</f>
        <v>自身</v>
      </c>
      <c r="Q72">
        <v>4</v>
      </c>
      <c r="R72" t="str">
        <f>INDEX(Define!N:N,MATCH(Q72,Define!M:M))</f>
        <v>自身</v>
      </c>
      <c r="S72">
        <v>1</v>
      </c>
      <c r="T72">
        <v>1</v>
      </c>
      <c r="U72">
        <v>1</v>
      </c>
      <c r="V72" s="5">
        <v>0</v>
      </c>
    </row>
    <row r="73" spans="1:22">
      <c r="A73">
        <v>12060</v>
      </c>
      <c r="B73">
        <v>12060</v>
      </c>
      <c r="C73" t="str">
        <f>INDEX(TextData!B:B,MATCH(B73,TextData!A:A))</f>
        <v>チェイスマジック</v>
      </c>
      <c r="D73">
        <v>6</v>
      </c>
      <c r="E73" t="str">
        <f>INDEX(Define!X:X,MATCH(D73,Define!W:W))</f>
        <v>自己強化</v>
      </c>
      <c r="F73">
        <v>201</v>
      </c>
      <c r="G73">
        <v>1</v>
      </c>
      <c r="H73" t="str">
        <f>INDEX(Define!B:B,MATCH(G73,Define!A:A))</f>
        <v>単体</v>
      </c>
      <c r="I73">
        <v>3</v>
      </c>
      <c r="J73">
        <v>20</v>
      </c>
      <c r="K73">
        <v>2</v>
      </c>
      <c r="L73" t="str">
        <f>INDEX(Define!E:E,MATCH(K73,Define!D:D))</f>
        <v>雷</v>
      </c>
      <c r="M73">
        <v>2</v>
      </c>
      <c r="N73" t="str">
        <f>INDEX(Define!H:H,MATCH(M73,Define!G:G))</f>
        <v>パッシブ</v>
      </c>
      <c r="O73">
        <v>7</v>
      </c>
      <c r="P73" t="str">
        <f>INDEX(Define!K:K,MATCH(O73,Define!J:J))</f>
        <v>追撃</v>
      </c>
      <c r="Q73">
        <v>1</v>
      </c>
      <c r="R73" t="str">
        <f>INDEX(Define!N:N,MATCH(Q73,Define!M:M))</f>
        <v>単体</v>
      </c>
      <c r="S73">
        <v>1</v>
      </c>
      <c r="T73">
        <v>1</v>
      </c>
      <c r="U73">
        <v>1</v>
      </c>
      <c r="V73" s="5">
        <v>0</v>
      </c>
    </row>
    <row r="74" spans="1:22">
      <c r="A74">
        <v>12070</v>
      </c>
      <c r="B74">
        <v>12070</v>
      </c>
      <c r="C74" t="str">
        <f>INDEX(TextData!B:B,MATCH(B74,TextData!A:A))</f>
        <v>ソーサリーコネクト</v>
      </c>
      <c r="D74">
        <v>6</v>
      </c>
      <c r="E74" t="str">
        <f>INDEX(Define!X:X,MATCH(D74,Define!W:W))</f>
        <v>自己強化</v>
      </c>
      <c r="F74">
        <v>51</v>
      </c>
      <c r="G74">
        <v>1</v>
      </c>
      <c r="H74" t="str">
        <f>INDEX(Define!B:B,MATCH(G74,Define!A:A))</f>
        <v>単体</v>
      </c>
      <c r="I74">
        <v>3</v>
      </c>
      <c r="J74">
        <v>20</v>
      </c>
      <c r="K74">
        <v>2</v>
      </c>
      <c r="L74" t="str">
        <f>INDEX(Define!E:E,MATCH(K74,Define!D:D))</f>
        <v>雷</v>
      </c>
      <c r="M74">
        <v>2</v>
      </c>
      <c r="N74" t="str">
        <f>INDEX(Define!H:H,MATCH(M74,Define!G:G))</f>
        <v>パッシブ</v>
      </c>
      <c r="O74">
        <v>11</v>
      </c>
      <c r="P74" t="str">
        <f>INDEX(Define!K:K,MATCH(O74,Define!J:J))</f>
        <v>Triggerの条件を満たす</v>
      </c>
      <c r="Q74">
        <v>1</v>
      </c>
      <c r="R74" t="str">
        <f>INDEX(Define!N:N,MATCH(Q74,Define!M:M))</f>
        <v>単体</v>
      </c>
      <c r="S74">
        <v>1</v>
      </c>
      <c r="T74">
        <v>1</v>
      </c>
      <c r="U74">
        <v>1</v>
      </c>
      <c r="V74" s="5">
        <v>1</v>
      </c>
    </row>
    <row r="75" spans="1:22">
      <c r="A75">
        <v>12071</v>
      </c>
      <c r="B75">
        <v>12070</v>
      </c>
      <c r="C75" t="str">
        <f>INDEX(TextData!B:B,MATCH(B75,TextData!A:A))</f>
        <v>ソーサリーコネクト</v>
      </c>
      <c r="D75">
        <v>6</v>
      </c>
      <c r="E75" t="str">
        <f>INDEX(Define!X:X,MATCH(D75,Define!W:W))</f>
        <v>自己強化</v>
      </c>
      <c r="F75">
        <v>61</v>
      </c>
      <c r="G75">
        <v>1</v>
      </c>
      <c r="H75" t="str">
        <f>INDEX(Define!B:B,MATCH(G75,Define!A:A))</f>
        <v>単体</v>
      </c>
      <c r="I75">
        <v>3</v>
      </c>
      <c r="J75">
        <v>20</v>
      </c>
      <c r="K75">
        <v>2</v>
      </c>
      <c r="L75" t="str">
        <f>INDEX(Define!E:E,MATCH(K75,Define!D:D))</f>
        <v>雷</v>
      </c>
      <c r="M75">
        <v>2</v>
      </c>
      <c r="N75" t="str">
        <f>INDEX(Define!H:H,MATCH(M75,Define!G:G))</f>
        <v>パッシブ</v>
      </c>
      <c r="O75">
        <v>4</v>
      </c>
      <c r="P75" t="str">
        <f>INDEX(Define!K:K,MATCH(O75,Define!J:J))</f>
        <v>自身</v>
      </c>
      <c r="Q75">
        <v>4</v>
      </c>
      <c r="R75" t="str">
        <f>INDEX(Define!N:N,MATCH(Q75,Define!M:M))</f>
        <v>自身</v>
      </c>
      <c r="S75">
        <v>1</v>
      </c>
      <c r="T75">
        <v>1</v>
      </c>
      <c r="U75">
        <v>1</v>
      </c>
      <c r="V75" s="5">
        <v>0</v>
      </c>
    </row>
    <row r="76" spans="1:22">
      <c r="A76">
        <v>12080</v>
      </c>
      <c r="B76">
        <v>12080</v>
      </c>
      <c r="C76" t="str">
        <f>INDEX(TextData!B:B,MATCH(B76,TextData!A:A))</f>
        <v>ウィンドライズ</v>
      </c>
      <c r="D76">
        <v>6</v>
      </c>
      <c r="E76" t="str">
        <f>INDEX(Define!X:X,MATCH(D76,Define!W:W))</f>
        <v>自己強化</v>
      </c>
      <c r="F76">
        <v>201</v>
      </c>
      <c r="G76">
        <v>1</v>
      </c>
      <c r="H76" t="str">
        <f>INDEX(Define!B:B,MATCH(G76,Define!A:A))</f>
        <v>単体</v>
      </c>
      <c r="I76">
        <v>0</v>
      </c>
      <c r="J76">
        <v>20</v>
      </c>
      <c r="K76">
        <v>2</v>
      </c>
      <c r="L76" t="str">
        <f>INDEX(Define!E:E,MATCH(K76,Define!D:D))</f>
        <v>雷</v>
      </c>
      <c r="M76">
        <v>2</v>
      </c>
      <c r="N76" t="str">
        <f>INDEX(Define!H:H,MATCH(M76,Define!G:G))</f>
        <v>パッシブ</v>
      </c>
      <c r="O76">
        <v>6</v>
      </c>
      <c r="P76" t="str">
        <f>INDEX(Define!K:K,MATCH(O76,Define!J:J))</f>
        <v>反撃</v>
      </c>
      <c r="Q76">
        <v>1</v>
      </c>
      <c r="R76" t="str">
        <f>INDEX(Define!N:N,MATCH(Q76,Define!M:M))</f>
        <v>単体</v>
      </c>
      <c r="S76">
        <v>2</v>
      </c>
      <c r="T76">
        <v>1</v>
      </c>
      <c r="U76">
        <v>1</v>
      </c>
      <c r="V76" s="5">
        <v>0</v>
      </c>
    </row>
    <row r="77" spans="1:22">
      <c r="A77">
        <v>12090</v>
      </c>
      <c r="B77">
        <v>12090</v>
      </c>
      <c r="C77" t="str">
        <f>INDEX(TextData!B:B,MATCH(B77,TextData!A:A))</f>
        <v>アウトオブオーダー</v>
      </c>
      <c r="D77">
        <v>6</v>
      </c>
      <c r="E77" t="str">
        <f>INDEX(Define!X:X,MATCH(D77,Define!W:W))</f>
        <v>自己強化</v>
      </c>
      <c r="F77">
        <v>51</v>
      </c>
      <c r="G77">
        <v>1</v>
      </c>
      <c r="H77" t="str">
        <f>INDEX(Define!B:B,MATCH(G77,Define!A:A))</f>
        <v>単体</v>
      </c>
      <c r="I77">
        <v>0</v>
      </c>
      <c r="J77">
        <v>20</v>
      </c>
      <c r="K77">
        <v>2</v>
      </c>
      <c r="L77" t="str">
        <f>INDEX(Define!E:E,MATCH(K77,Define!D:D))</f>
        <v>雷</v>
      </c>
      <c r="M77">
        <v>2</v>
      </c>
      <c r="N77" t="str">
        <f>INDEX(Define!H:H,MATCH(M77,Define!G:G))</f>
        <v>パッシブ</v>
      </c>
      <c r="O77">
        <v>4</v>
      </c>
      <c r="P77" t="str">
        <f>INDEX(Define!K:K,MATCH(O77,Define!J:J))</f>
        <v>自身</v>
      </c>
      <c r="Q77">
        <v>2</v>
      </c>
      <c r="R77" t="str">
        <f>INDEX(Define!N:N,MATCH(Q77,Define!M:M))</f>
        <v>列</v>
      </c>
      <c r="S77">
        <v>2</v>
      </c>
      <c r="T77">
        <v>1</v>
      </c>
      <c r="U77">
        <v>1</v>
      </c>
      <c r="V77" s="5">
        <v>0</v>
      </c>
    </row>
    <row r="78" spans="1:22">
      <c r="A78">
        <v>13010</v>
      </c>
      <c r="B78">
        <v>13010</v>
      </c>
      <c r="C78" t="str">
        <f>INDEX(TextData!B:B,MATCH(B78,TextData!A:A))</f>
        <v>アーマーコード</v>
      </c>
      <c r="D78">
        <v>6</v>
      </c>
      <c r="E78" t="str">
        <f>INDEX(Define!X:X,MATCH(D78,Define!W:W))</f>
        <v>自己強化</v>
      </c>
      <c r="F78">
        <v>51</v>
      </c>
      <c r="G78">
        <v>1</v>
      </c>
      <c r="H78" t="str">
        <f>INDEX(Define!B:B,MATCH(G78,Define!A:A))</f>
        <v>単体</v>
      </c>
      <c r="I78">
        <v>0</v>
      </c>
      <c r="J78">
        <v>10</v>
      </c>
      <c r="K78">
        <v>3</v>
      </c>
      <c r="L78" t="str">
        <f>INDEX(Define!E:E,MATCH(K78,Define!D:D))</f>
        <v>氷</v>
      </c>
      <c r="M78">
        <v>2</v>
      </c>
      <c r="N78" t="str">
        <f>INDEX(Define!H:H,MATCH(M78,Define!G:G))</f>
        <v>パッシブ</v>
      </c>
      <c r="O78">
        <v>4</v>
      </c>
      <c r="P78" t="str">
        <f>INDEX(Define!K:K,MATCH(O78,Define!J:J))</f>
        <v>自身</v>
      </c>
      <c r="Q78">
        <v>4</v>
      </c>
      <c r="R78" t="str">
        <f>INDEX(Define!N:N,MATCH(Q78,Define!M:M))</f>
        <v>自身</v>
      </c>
      <c r="S78">
        <v>1</v>
      </c>
      <c r="T78">
        <v>1</v>
      </c>
      <c r="U78">
        <v>1</v>
      </c>
      <c r="V78" s="5">
        <v>0</v>
      </c>
    </row>
    <row r="79" s="5" customFormat="1" ht="12" customHeight="1" spans="1:22">
      <c r="A79">
        <v>13020</v>
      </c>
      <c r="B79">
        <v>13020</v>
      </c>
      <c r="C79" s="5" t="str">
        <f>INDEX(TextData!B:B,MATCH(B79,TextData!A:A))</f>
        <v>クイックバリア</v>
      </c>
      <c r="D79" s="5">
        <v>6</v>
      </c>
      <c r="E79" s="5" t="str">
        <f>INDEX(Define!X:X,MATCH(D79,Define!W:W))</f>
        <v>自己強化</v>
      </c>
      <c r="F79" s="5">
        <v>21</v>
      </c>
      <c r="G79" s="5">
        <v>1</v>
      </c>
      <c r="H79" s="5" t="str">
        <f>INDEX(Define!B:B,MATCH(G79,Define!A:A))</f>
        <v>単体</v>
      </c>
      <c r="I79" s="5">
        <v>3</v>
      </c>
      <c r="J79" s="5">
        <v>10</v>
      </c>
      <c r="K79" s="5">
        <v>3</v>
      </c>
      <c r="L79" s="5" t="str">
        <f>INDEX(Define!E:E,MATCH(K79,Define!D:D))</f>
        <v>氷</v>
      </c>
      <c r="M79" s="5">
        <v>2</v>
      </c>
      <c r="N79" s="5" t="str">
        <f>INDEX(Define!H:H,MATCH(M79,Define!G:G))</f>
        <v>パッシブ</v>
      </c>
      <c r="O79" s="5">
        <v>11</v>
      </c>
      <c r="P79" s="5" t="str">
        <f>INDEX(Define!K:K,MATCH(O79,Define!J:J))</f>
        <v>Triggerの条件を満たす</v>
      </c>
      <c r="Q79" s="5">
        <v>1</v>
      </c>
      <c r="R79" s="5" t="str">
        <f>INDEX(Define!N:N,MATCH(Q79,Define!M:M))</f>
        <v>単体</v>
      </c>
      <c r="S79" s="5">
        <v>1</v>
      </c>
      <c r="T79" s="5">
        <v>1</v>
      </c>
      <c r="U79" s="5">
        <v>1</v>
      </c>
      <c r="V79" s="5">
        <v>1</v>
      </c>
    </row>
    <row r="80" s="5" customFormat="1" ht="12" customHeight="1" spans="1:22">
      <c r="A80" s="5">
        <v>13030</v>
      </c>
      <c r="B80" s="5">
        <v>13030</v>
      </c>
      <c r="C80" s="5" t="str">
        <f>INDEX(TextData!B:B,MATCH(B80,TextData!A:A))</f>
        <v>クイックキュア</v>
      </c>
      <c r="D80" s="5">
        <v>6</v>
      </c>
      <c r="E80" s="5" t="str">
        <f>INDEX(Define!X:X,MATCH(D80,Define!W:W))</f>
        <v>自己強化</v>
      </c>
      <c r="F80" s="5">
        <v>51</v>
      </c>
      <c r="G80" s="5">
        <v>1</v>
      </c>
      <c r="H80" s="5" t="str">
        <f>INDEX(Define!B:B,MATCH(G80,Define!A:A))</f>
        <v>単体</v>
      </c>
      <c r="I80" s="5">
        <v>2</v>
      </c>
      <c r="J80">
        <v>10</v>
      </c>
      <c r="K80" s="5">
        <v>3</v>
      </c>
      <c r="L80" s="5" t="str">
        <f>INDEX(Define!E:E,MATCH(K80,Define!D:D))</f>
        <v>氷</v>
      </c>
      <c r="M80" s="5">
        <v>2</v>
      </c>
      <c r="N80" s="5" t="str">
        <f>INDEX(Define!H:H,MATCH(M80,Define!G:G))</f>
        <v>パッシブ</v>
      </c>
      <c r="O80" s="5">
        <v>11</v>
      </c>
      <c r="P80" s="5" t="str">
        <f>INDEX(Define!K:K,MATCH(O80,Define!J:J))</f>
        <v>Triggerの条件を満たす</v>
      </c>
      <c r="Q80" s="5">
        <v>1</v>
      </c>
      <c r="R80" s="5" t="str">
        <f>INDEX(Define!N:N,MATCH(Q80,Define!M:M))</f>
        <v>単体</v>
      </c>
      <c r="S80" s="5">
        <v>1</v>
      </c>
      <c r="T80" s="5">
        <v>1</v>
      </c>
      <c r="U80" s="5">
        <v>1</v>
      </c>
      <c r="V80" s="5">
        <v>1</v>
      </c>
    </row>
    <row r="81" spans="1:22">
      <c r="A81">
        <v>13040</v>
      </c>
      <c r="B81">
        <v>13040</v>
      </c>
      <c r="C81" t="str">
        <f>INDEX(TextData!B:B,MATCH(B81,TextData!A:A))</f>
        <v>セルフシールド</v>
      </c>
      <c r="D81">
        <v>6</v>
      </c>
      <c r="E81" t="str">
        <f>INDEX(Define!X:X,MATCH(D81,Define!W:W))</f>
        <v>自己強化</v>
      </c>
      <c r="F81">
        <v>51</v>
      </c>
      <c r="G81">
        <v>1</v>
      </c>
      <c r="H81" t="str">
        <f>INDEX(Define!B:B,MATCH(G81,Define!A:A))</f>
        <v>単体</v>
      </c>
      <c r="I81">
        <v>3</v>
      </c>
      <c r="J81">
        <v>10</v>
      </c>
      <c r="K81">
        <v>3</v>
      </c>
      <c r="L81" t="str">
        <f>INDEX(Define!E:E,MATCH(K81,Define!D:D))</f>
        <v>氷</v>
      </c>
      <c r="M81">
        <v>2</v>
      </c>
      <c r="N81" t="str">
        <f>INDEX(Define!H:H,MATCH(M81,Define!G:G))</f>
        <v>パッシブ</v>
      </c>
      <c r="O81">
        <v>4</v>
      </c>
      <c r="P81" t="str">
        <f>INDEX(Define!K:K,MATCH(O81,Define!J:J))</f>
        <v>自身</v>
      </c>
      <c r="Q81">
        <v>4</v>
      </c>
      <c r="R81" t="str">
        <f>INDEX(Define!N:N,MATCH(Q81,Define!M:M))</f>
        <v>自身</v>
      </c>
      <c r="S81">
        <v>1</v>
      </c>
      <c r="T81">
        <v>1</v>
      </c>
      <c r="U81">
        <v>1</v>
      </c>
      <c r="V81" s="5">
        <v>0</v>
      </c>
    </row>
    <row r="82" spans="1:22">
      <c r="A82">
        <v>13050</v>
      </c>
      <c r="B82">
        <v>13050</v>
      </c>
      <c r="C82" t="str">
        <f>INDEX(TextData!B:B,MATCH(B82,TextData!A:A))</f>
        <v>パッシブジャミング</v>
      </c>
      <c r="D82">
        <v>6</v>
      </c>
      <c r="E82" t="str">
        <f>INDEX(Define!X:X,MATCH(D82,Define!W:W))</f>
        <v>自己強化</v>
      </c>
      <c r="F82">
        <v>51</v>
      </c>
      <c r="G82">
        <v>1</v>
      </c>
      <c r="H82" t="str">
        <f>INDEX(Define!B:B,MATCH(G82,Define!A:A))</f>
        <v>単体</v>
      </c>
      <c r="I82">
        <v>5</v>
      </c>
      <c r="J82">
        <v>10</v>
      </c>
      <c r="K82">
        <v>3</v>
      </c>
      <c r="L82" t="str">
        <f>INDEX(Define!E:E,MATCH(K82,Define!D:D))</f>
        <v>氷</v>
      </c>
      <c r="M82">
        <v>2</v>
      </c>
      <c r="N82" t="str">
        <f>INDEX(Define!H:H,MATCH(M82,Define!G:G))</f>
        <v>パッシブ</v>
      </c>
      <c r="O82" s="5">
        <v>11</v>
      </c>
      <c r="P82" t="str">
        <f>INDEX(Define!K:K,MATCH(O82,Define!J:J))</f>
        <v>Triggerの条件を満たす</v>
      </c>
      <c r="Q82">
        <v>1</v>
      </c>
      <c r="R82" t="str">
        <f>INDEX(Define!N:N,MATCH(Q82,Define!M:M))</f>
        <v>単体</v>
      </c>
      <c r="S82">
        <v>1</v>
      </c>
      <c r="T82">
        <v>1</v>
      </c>
      <c r="U82">
        <v>1</v>
      </c>
      <c r="V82" s="5">
        <v>1</v>
      </c>
    </row>
    <row r="83" spans="1:22">
      <c r="A83">
        <v>13060</v>
      </c>
      <c r="B83">
        <v>13060</v>
      </c>
      <c r="C83" t="str">
        <f>INDEX(TextData!B:B,MATCH(B83,TextData!A:A))</f>
        <v>サプライカバー</v>
      </c>
      <c r="D83">
        <v>6</v>
      </c>
      <c r="E83" t="str">
        <f>INDEX(Define!X:X,MATCH(D83,Define!W:W))</f>
        <v>自己強化</v>
      </c>
      <c r="F83">
        <v>51</v>
      </c>
      <c r="G83">
        <v>1</v>
      </c>
      <c r="H83" t="str">
        <f>INDEX(Define!B:B,MATCH(G83,Define!A:A))</f>
        <v>単体</v>
      </c>
      <c r="I83">
        <v>2</v>
      </c>
      <c r="J83">
        <v>20</v>
      </c>
      <c r="K83">
        <v>3</v>
      </c>
      <c r="L83" t="str">
        <f>INDEX(Define!E:E,MATCH(K83,Define!D:D))</f>
        <v>氷</v>
      </c>
      <c r="M83">
        <v>2</v>
      </c>
      <c r="N83" t="str">
        <f>INDEX(Define!H:H,MATCH(M83,Define!G:G))</f>
        <v>パッシブ</v>
      </c>
      <c r="O83" s="5">
        <v>4</v>
      </c>
      <c r="P83" t="str">
        <f>INDEX(Define!K:K,MATCH(O83,Define!J:J))</f>
        <v>自身</v>
      </c>
      <c r="Q83">
        <v>4</v>
      </c>
      <c r="R83" t="str">
        <f>INDEX(Define!N:N,MATCH(Q83,Define!M:M))</f>
        <v>自身</v>
      </c>
      <c r="S83">
        <v>1</v>
      </c>
      <c r="T83">
        <v>1</v>
      </c>
      <c r="U83">
        <v>1</v>
      </c>
      <c r="V83" s="5">
        <v>0</v>
      </c>
    </row>
    <row r="84" spans="1:22">
      <c r="A84">
        <v>13070</v>
      </c>
      <c r="B84">
        <v>13070</v>
      </c>
      <c r="C84" t="str">
        <f>INDEX(TextData!B:B,MATCH(B84,TextData!A:A))</f>
        <v>アシッドラッシュ</v>
      </c>
      <c r="D84">
        <v>6</v>
      </c>
      <c r="E84" t="str">
        <f>INDEX(Define!X:X,MATCH(D84,Define!W:W))</f>
        <v>自己強化</v>
      </c>
      <c r="F84">
        <v>51</v>
      </c>
      <c r="G84">
        <v>1</v>
      </c>
      <c r="H84" t="str">
        <f>INDEX(Define!B:B,MATCH(G84,Define!A:A))</f>
        <v>単体</v>
      </c>
      <c r="I84">
        <v>0</v>
      </c>
      <c r="J84">
        <v>20</v>
      </c>
      <c r="K84">
        <v>3</v>
      </c>
      <c r="L84" t="str">
        <f>INDEX(Define!E:E,MATCH(K84,Define!D:D))</f>
        <v>氷</v>
      </c>
      <c r="M84">
        <v>2</v>
      </c>
      <c r="N84" t="str">
        <f>INDEX(Define!H:H,MATCH(M84,Define!G:G))</f>
        <v>パッシブ</v>
      </c>
      <c r="O84">
        <v>7</v>
      </c>
      <c r="P84" t="str">
        <f>INDEX(Define!K:K,MATCH(O84,Define!J:J))</f>
        <v>追撃</v>
      </c>
      <c r="Q84">
        <v>1</v>
      </c>
      <c r="R84" t="str">
        <f>INDEX(Define!N:N,MATCH(Q84,Define!M:M))</f>
        <v>単体</v>
      </c>
      <c r="S84">
        <v>1</v>
      </c>
      <c r="T84">
        <v>1</v>
      </c>
      <c r="U84">
        <v>1</v>
      </c>
      <c r="V84" s="5">
        <v>0</v>
      </c>
    </row>
    <row r="85" spans="1:22">
      <c r="A85">
        <v>13080</v>
      </c>
      <c r="B85">
        <v>13080</v>
      </c>
      <c r="C85" t="str">
        <f>INDEX(TextData!B:B,MATCH(B85,TextData!A:A))</f>
        <v>ライフスティール</v>
      </c>
      <c r="D85">
        <v>6</v>
      </c>
      <c r="E85" t="str">
        <f>INDEX(Define!X:X,MATCH(D85,Define!W:W))</f>
        <v>自己強化</v>
      </c>
      <c r="F85">
        <v>51</v>
      </c>
      <c r="G85">
        <v>1</v>
      </c>
      <c r="H85" t="str">
        <f>INDEX(Define!B:B,MATCH(G85,Define!A:A))</f>
        <v>単体</v>
      </c>
      <c r="I85">
        <v>3</v>
      </c>
      <c r="J85">
        <v>20</v>
      </c>
      <c r="K85">
        <v>3</v>
      </c>
      <c r="L85" t="str">
        <f>INDEX(Define!E:E,MATCH(K85,Define!D:D))</f>
        <v>氷</v>
      </c>
      <c r="M85">
        <v>2</v>
      </c>
      <c r="N85" t="str">
        <f>INDEX(Define!H:H,MATCH(M85,Define!G:G))</f>
        <v>パッシブ</v>
      </c>
      <c r="O85">
        <v>4</v>
      </c>
      <c r="P85" t="str">
        <f>INDEX(Define!K:K,MATCH(O85,Define!J:J))</f>
        <v>自身</v>
      </c>
      <c r="Q85">
        <v>4</v>
      </c>
      <c r="R85" t="str">
        <f>INDEX(Define!N:N,MATCH(Q85,Define!M:M))</f>
        <v>自身</v>
      </c>
      <c r="S85">
        <v>1</v>
      </c>
      <c r="T85">
        <v>1</v>
      </c>
      <c r="U85">
        <v>1</v>
      </c>
      <c r="V85" s="5">
        <v>0</v>
      </c>
    </row>
    <row r="86" spans="1:22">
      <c r="A86">
        <v>13090</v>
      </c>
      <c r="B86">
        <v>13090</v>
      </c>
      <c r="C86" t="str">
        <f>INDEX(TextData!B:B,MATCH(B86,TextData!A:A))</f>
        <v>アイスセイバー</v>
      </c>
      <c r="D86">
        <v>6</v>
      </c>
      <c r="E86" t="str">
        <f>INDEX(Define!X:X,MATCH(D86,Define!W:W))</f>
        <v>自己強化</v>
      </c>
      <c r="F86">
        <v>51</v>
      </c>
      <c r="G86">
        <v>1</v>
      </c>
      <c r="H86" t="str">
        <f>INDEX(Define!B:B,MATCH(G86,Define!A:A))</f>
        <v>単体</v>
      </c>
      <c r="I86">
        <v>3</v>
      </c>
      <c r="J86">
        <v>20</v>
      </c>
      <c r="K86">
        <v>3</v>
      </c>
      <c r="L86" t="str">
        <f>INDEX(Define!E:E,MATCH(K86,Define!D:D))</f>
        <v>氷</v>
      </c>
      <c r="M86">
        <v>2</v>
      </c>
      <c r="N86" t="str">
        <f>INDEX(Define!H:H,MATCH(M86,Define!G:G))</f>
        <v>パッシブ</v>
      </c>
      <c r="O86">
        <v>7</v>
      </c>
      <c r="P86" t="str">
        <f>INDEX(Define!K:K,MATCH(O86,Define!J:J))</f>
        <v>追撃</v>
      </c>
      <c r="Q86">
        <v>3</v>
      </c>
      <c r="R86" t="str">
        <f>INDEX(Define!N:N,MATCH(Q86,Define!M:M))</f>
        <v>全体</v>
      </c>
      <c r="S86">
        <v>1</v>
      </c>
      <c r="T86">
        <v>1</v>
      </c>
      <c r="U86">
        <v>1</v>
      </c>
      <c r="V86" s="5">
        <v>0</v>
      </c>
    </row>
    <row r="87" ht="12" customHeight="1" spans="1:22">
      <c r="A87">
        <v>14010</v>
      </c>
      <c r="B87">
        <v>14010</v>
      </c>
      <c r="C87" t="str">
        <f>INDEX(TextData!B:B,MATCH(B87,TextData!A:A))</f>
        <v>ディバインシールド</v>
      </c>
      <c r="D87">
        <v>6</v>
      </c>
      <c r="E87" t="str">
        <f>INDEX(Define!X:X,MATCH(D87,Define!W:W))</f>
        <v>自己強化</v>
      </c>
      <c r="F87">
        <v>51</v>
      </c>
      <c r="G87">
        <v>1</v>
      </c>
      <c r="H87" t="str">
        <f>INDEX(Define!B:B,MATCH(G87,Define!A:A))</f>
        <v>単体</v>
      </c>
      <c r="I87">
        <v>0</v>
      </c>
      <c r="J87">
        <v>10</v>
      </c>
      <c r="K87">
        <v>4</v>
      </c>
      <c r="L87" t="str">
        <f>INDEX(Define!E:E,MATCH(K87,Define!D:D))</f>
        <v>光</v>
      </c>
      <c r="M87">
        <v>2</v>
      </c>
      <c r="N87" t="str">
        <f>INDEX(Define!H:H,MATCH(M87,Define!G:G))</f>
        <v>パッシブ</v>
      </c>
      <c r="O87">
        <v>4</v>
      </c>
      <c r="P87" t="str">
        <f>INDEX(Define!K:K,MATCH(O87,Define!J:J))</f>
        <v>自身</v>
      </c>
      <c r="Q87">
        <v>4</v>
      </c>
      <c r="R87" t="str">
        <f>INDEX(Define!N:N,MATCH(Q87,Define!M:M))</f>
        <v>自身</v>
      </c>
      <c r="S87">
        <v>1</v>
      </c>
      <c r="T87">
        <v>1</v>
      </c>
      <c r="U87">
        <v>1</v>
      </c>
      <c r="V87" s="5">
        <v>0</v>
      </c>
    </row>
    <row r="88" ht="12" customHeight="1" spans="1:22">
      <c r="A88">
        <v>14020</v>
      </c>
      <c r="B88">
        <v>14020</v>
      </c>
      <c r="C88" t="str">
        <f>INDEX(TextData!B:B,MATCH(B88,TextData!A:A))</f>
        <v>ライフディバイド</v>
      </c>
      <c r="D88">
        <v>6</v>
      </c>
      <c r="E88" t="str">
        <f>INDEX(Define!X:X,MATCH(D88,Define!W:W))</f>
        <v>自己強化</v>
      </c>
      <c r="F88">
        <v>21</v>
      </c>
      <c r="G88">
        <v>1</v>
      </c>
      <c r="H88" t="str">
        <f>INDEX(Define!B:B,MATCH(G88,Define!A:A))</f>
        <v>単体</v>
      </c>
      <c r="I88">
        <v>3</v>
      </c>
      <c r="J88">
        <v>10</v>
      </c>
      <c r="K88">
        <v>4</v>
      </c>
      <c r="L88" t="str">
        <f>INDEX(Define!E:E,MATCH(K88,Define!D:D))</f>
        <v>光</v>
      </c>
      <c r="M88">
        <v>2</v>
      </c>
      <c r="N88" t="str">
        <f>INDEX(Define!H:H,MATCH(M88,Define!G:G))</f>
        <v>パッシブ</v>
      </c>
      <c r="O88">
        <v>11</v>
      </c>
      <c r="P88" t="str">
        <f>INDEX(Define!K:K,MATCH(O88,Define!J:J))</f>
        <v>Triggerの条件を満たす</v>
      </c>
      <c r="Q88">
        <v>1</v>
      </c>
      <c r="R88" t="str">
        <f>INDEX(Define!N:N,MATCH(Q88,Define!M:M))</f>
        <v>単体</v>
      </c>
      <c r="S88">
        <v>1</v>
      </c>
      <c r="T88">
        <v>1</v>
      </c>
      <c r="U88">
        <v>1</v>
      </c>
      <c r="V88" s="5">
        <v>1</v>
      </c>
    </row>
    <row r="89" ht="12" customHeight="1" spans="1:22">
      <c r="A89">
        <v>14030</v>
      </c>
      <c r="B89">
        <v>14030</v>
      </c>
      <c r="C89" t="str">
        <f>INDEX(TextData!B:B,MATCH(B89,TextData!A:A))</f>
        <v>エイミングスコープ</v>
      </c>
      <c r="D89">
        <v>6</v>
      </c>
      <c r="E89" t="str">
        <f>INDEX(Define!X:X,MATCH(D89,Define!W:W))</f>
        <v>自己強化</v>
      </c>
      <c r="F89">
        <v>51</v>
      </c>
      <c r="G89">
        <v>1</v>
      </c>
      <c r="H89" t="str">
        <f>INDEX(Define!B:B,MATCH(G89,Define!A:A))</f>
        <v>単体</v>
      </c>
      <c r="I89">
        <v>0</v>
      </c>
      <c r="J89">
        <v>10</v>
      </c>
      <c r="K89">
        <v>4</v>
      </c>
      <c r="L89" t="str">
        <f>INDEX(Define!E:E,MATCH(K89,Define!D:D))</f>
        <v>光</v>
      </c>
      <c r="M89">
        <v>2</v>
      </c>
      <c r="N89" t="str">
        <f>INDEX(Define!H:H,MATCH(M89,Define!G:G))</f>
        <v>パッシブ</v>
      </c>
      <c r="O89">
        <v>2</v>
      </c>
      <c r="P89" t="str">
        <f>INDEX(Define!K:K,MATCH(O89,Define!J:J))</f>
        <v>味方</v>
      </c>
      <c r="Q89">
        <v>3</v>
      </c>
      <c r="R89" t="str">
        <f>INDEX(Define!N:N,MATCH(Q89,Define!M:M))</f>
        <v>全体</v>
      </c>
      <c r="S89">
        <v>1</v>
      </c>
      <c r="T89">
        <v>1</v>
      </c>
      <c r="U89">
        <v>1</v>
      </c>
      <c r="V89" s="5">
        <v>0</v>
      </c>
    </row>
    <row r="90" ht="12" customHeight="1" spans="1:22">
      <c r="A90">
        <v>14040</v>
      </c>
      <c r="B90">
        <v>14040</v>
      </c>
      <c r="C90" t="str">
        <f>INDEX(TextData!B:B,MATCH(B90,TextData!A:A))</f>
        <v>リジェネレーション</v>
      </c>
      <c r="D90">
        <v>6</v>
      </c>
      <c r="E90" t="str">
        <f>INDEX(Define!X:X,MATCH(D90,Define!W:W))</f>
        <v>自己強化</v>
      </c>
      <c r="F90">
        <v>21</v>
      </c>
      <c r="G90">
        <v>1</v>
      </c>
      <c r="H90" t="str">
        <f>INDEX(Define!B:B,MATCH(G90,Define!A:A))</f>
        <v>単体</v>
      </c>
      <c r="I90">
        <v>0</v>
      </c>
      <c r="J90">
        <v>10</v>
      </c>
      <c r="K90">
        <v>4</v>
      </c>
      <c r="L90" t="str">
        <f>INDEX(Define!E:E,MATCH(K90,Define!D:D))</f>
        <v>光</v>
      </c>
      <c r="M90">
        <v>2</v>
      </c>
      <c r="N90" t="str">
        <f>INDEX(Define!H:H,MATCH(M90,Define!G:G))</f>
        <v>パッシブ</v>
      </c>
      <c r="O90">
        <v>4</v>
      </c>
      <c r="P90" t="str">
        <f>INDEX(Define!K:K,MATCH(O90,Define!J:J))</f>
        <v>自身</v>
      </c>
      <c r="Q90">
        <v>4</v>
      </c>
      <c r="R90" t="str">
        <f>INDEX(Define!N:N,MATCH(Q90,Define!M:M))</f>
        <v>自身</v>
      </c>
      <c r="S90">
        <v>1</v>
      </c>
      <c r="T90">
        <v>1</v>
      </c>
      <c r="U90">
        <v>1</v>
      </c>
      <c r="V90" s="5">
        <v>0</v>
      </c>
    </row>
    <row r="91" ht="12" customHeight="1" spans="1:22">
      <c r="A91">
        <v>14050</v>
      </c>
      <c r="B91">
        <v>14050</v>
      </c>
      <c r="C91" t="str">
        <f>INDEX(TextData!B:B,MATCH(B91,TextData!A:A))</f>
        <v>ホープフルアイリス</v>
      </c>
      <c r="D91">
        <v>6</v>
      </c>
      <c r="E91" t="str">
        <f>INDEX(Define!X:X,MATCH(D91,Define!W:W))</f>
        <v>自己強化</v>
      </c>
      <c r="F91">
        <v>51</v>
      </c>
      <c r="G91">
        <v>1</v>
      </c>
      <c r="H91" t="str">
        <f>INDEX(Define!B:B,MATCH(G91,Define!A:A))</f>
        <v>単体</v>
      </c>
      <c r="I91">
        <v>0</v>
      </c>
      <c r="J91">
        <v>10</v>
      </c>
      <c r="K91">
        <v>4</v>
      </c>
      <c r="L91" t="str">
        <f>INDEX(Define!E:E,MATCH(K91,Define!D:D))</f>
        <v>光</v>
      </c>
      <c r="M91">
        <v>2</v>
      </c>
      <c r="N91" t="str">
        <f>INDEX(Define!H:H,MATCH(M91,Define!G:G))</f>
        <v>パッシブ</v>
      </c>
      <c r="O91">
        <v>4</v>
      </c>
      <c r="P91" t="str">
        <f>INDEX(Define!K:K,MATCH(O91,Define!J:J))</f>
        <v>自身</v>
      </c>
      <c r="Q91">
        <v>4</v>
      </c>
      <c r="R91" t="str">
        <f>INDEX(Define!N:N,MATCH(Q91,Define!M:M))</f>
        <v>自身</v>
      </c>
      <c r="S91">
        <v>1</v>
      </c>
      <c r="T91">
        <v>1</v>
      </c>
      <c r="U91">
        <v>1</v>
      </c>
      <c r="V91" s="5">
        <v>0</v>
      </c>
    </row>
    <row r="92" ht="12" customHeight="1" spans="1:22">
      <c r="A92">
        <v>14060</v>
      </c>
      <c r="B92">
        <v>14060</v>
      </c>
      <c r="C92" t="str">
        <f>INDEX(TextData!B:B,MATCH(B92,TextData!A:A))</f>
        <v>パッシブサプライ</v>
      </c>
      <c r="D92">
        <v>6</v>
      </c>
      <c r="E92" t="str">
        <f>INDEX(Define!X:X,MATCH(D92,Define!W:W))</f>
        <v>自己強化</v>
      </c>
      <c r="F92">
        <v>51</v>
      </c>
      <c r="G92">
        <v>1</v>
      </c>
      <c r="H92" t="str">
        <f>INDEX(Define!B:B,MATCH(G92,Define!A:A))</f>
        <v>単体</v>
      </c>
      <c r="I92">
        <v>0</v>
      </c>
      <c r="J92">
        <v>20</v>
      </c>
      <c r="K92">
        <v>4</v>
      </c>
      <c r="L92" t="str">
        <f>INDEX(Define!E:E,MATCH(K92,Define!D:D))</f>
        <v>光</v>
      </c>
      <c r="M92">
        <v>2</v>
      </c>
      <c r="N92" t="str">
        <f>INDEX(Define!H:H,MATCH(M92,Define!G:G))</f>
        <v>パッシブ</v>
      </c>
      <c r="O92">
        <v>6</v>
      </c>
      <c r="P92" t="str">
        <f>INDEX(Define!K:K,MATCH(O92,Define!J:J))</f>
        <v>反撃</v>
      </c>
      <c r="Q92">
        <v>1</v>
      </c>
      <c r="R92" t="str">
        <f>INDEX(Define!N:N,MATCH(Q92,Define!M:M))</f>
        <v>単体</v>
      </c>
      <c r="S92">
        <v>1</v>
      </c>
      <c r="T92">
        <v>1</v>
      </c>
      <c r="U92">
        <v>1</v>
      </c>
      <c r="V92" s="5">
        <v>0</v>
      </c>
    </row>
    <row r="93" ht="12" customHeight="1" spans="1:22">
      <c r="A93">
        <v>14070</v>
      </c>
      <c r="B93">
        <v>14070</v>
      </c>
      <c r="C93" t="str">
        <f>INDEX(TextData!B:B,MATCH(B93,TextData!A:A))</f>
        <v>ホーミングクルセイド</v>
      </c>
      <c r="D93">
        <v>6</v>
      </c>
      <c r="E93" t="str">
        <f>INDEX(Define!X:X,MATCH(D93,Define!W:W))</f>
        <v>自己強化</v>
      </c>
      <c r="F93">
        <v>51</v>
      </c>
      <c r="G93">
        <v>1</v>
      </c>
      <c r="H93" t="str">
        <f>INDEX(Define!B:B,MATCH(G93,Define!A:A))</f>
        <v>単体</v>
      </c>
      <c r="I93">
        <v>0</v>
      </c>
      <c r="J93">
        <v>20</v>
      </c>
      <c r="K93">
        <v>4</v>
      </c>
      <c r="L93" t="str">
        <f>INDEX(Define!E:E,MATCH(K93,Define!D:D))</f>
        <v>光</v>
      </c>
      <c r="M93">
        <v>2</v>
      </c>
      <c r="N93" t="str">
        <f>INDEX(Define!H:H,MATCH(M93,Define!G:G))</f>
        <v>パッシブ</v>
      </c>
      <c r="O93">
        <v>4</v>
      </c>
      <c r="P93" t="str">
        <f>INDEX(Define!K:K,MATCH(O93,Define!J:J))</f>
        <v>自身</v>
      </c>
      <c r="Q93">
        <v>4</v>
      </c>
      <c r="R93" t="str">
        <f>INDEX(Define!N:N,MATCH(Q93,Define!M:M))</f>
        <v>自身</v>
      </c>
      <c r="S93">
        <v>1</v>
      </c>
      <c r="T93">
        <v>1</v>
      </c>
      <c r="U93">
        <v>1</v>
      </c>
      <c r="V93" s="5">
        <v>0</v>
      </c>
    </row>
    <row r="94" ht="12" customHeight="1" spans="1:22">
      <c r="A94">
        <v>14080</v>
      </c>
      <c r="B94">
        <v>14080</v>
      </c>
      <c r="C94" t="str">
        <f>INDEX(TextData!B:B,MATCH(B94,TextData!A:A))</f>
        <v>クイックヒール</v>
      </c>
      <c r="D94">
        <v>6</v>
      </c>
      <c r="E94" t="str">
        <f>INDEX(Define!X:X,MATCH(D94,Define!W:W))</f>
        <v>自己強化</v>
      </c>
      <c r="F94">
        <v>21</v>
      </c>
      <c r="G94">
        <v>1</v>
      </c>
      <c r="H94" t="str">
        <f>INDEX(Define!B:B,MATCH(G94,Define!A:A))</f>
        <v>単体</v>
      </c>
      <c r="I94">
        <v>2</v>
      </c>
      <c r="J94">
        <v>20</v>
      </c>
      <c r="K94">
        <v>4</v>
      </c>
      <c r="L94" t="str">
        <f>INDEX(Define!E:E,MATCH(K94,Define!D:D))</f>
        <v>光</v>
      </c>
      <c r="M94">
        <v>2</v>
      </c>
      <c r="N94" t="str">
        <f>INDEX(Define!H:H,MATCH(M94,Define!G:G))</f>
        <v>パッシブ</v>
      </c>
      <c r="O94">
        <v>11</v>
      </c>
      <c r="P94" t="str">
        <f>INDEX(Define!K:K,MATCH(O94,Define!J:J))</f>
        <v>Triggerの条件を満たす</v>
      </c>
      <c r="Q94">
        <v>1</v>
      </c>
      <c r="R94" t="str">
        <f>INDEX(Define!N:N,MATCH(Q94,Define!M:M))</f>
        <v>単体</v>
      </c>
      <c r="S94">
        <v>1</v>
      </c>
      <c r="T94">
        <v>1</v>
      </c>
      <c r="U94">
        <v>1</v>
      </c>
      <c r="V94" s="5">
        <v>0</v>
      </c>
    </row>
    <row r="95" ht="12" customHeight="1" spans="1:22">
      <c r="A95">
        <v>14090</v>
      </c>
      <c r="B95">
        <v>14090</v>
      </c>
      <c r="C95" t="str">
        <f>INDEX(TextData!B:B,MATCH(B95,TextData!A:A))</f>
        <v>リレイズ</v>
      </c>
      <c r="D95">
        <v>6</v>
      </c>
      <c r="E95" t="str">
        <f>INDEX(Define!X:X,MATCH(D95,Define!W:W))</f>
        <v>自己強化</v>
      </c>
      <c r="F95">
        <v>21</v>
      </c>
      <c r="G95">
        <v>1</v>
      </c>
      <c r="H95" t="str">
        <f>INDEX(Define!B:B,MATCH(G95,Define!A:A))</f>
        <v>単体</v>
      </c>
      <c r="I95">
        <v>5</v>
      </c>
      <c r="J95">
        <v>20</v>
      </c>
      <c r="K95">
        <v>4</v>
      </c>
      <c r="L95" t="str">
        <f>INDEX(Define!E:E,MATCH(K95,Define!D:D))</f>
        <v>光</v>
      </c>
      <c r="M95">
        <v>2</v>
      </c>
      <c r="N95" t="str">
        <f>INDEX(Define!H:H,MATCH(M95,Define!G:G))</f>
        <v>パッシブ</v>
      </c>
      <c r="O95">
        <v>4</v>
      </c>
      <c r="P95" t="str">
        <f>INDEX(Define!K:K,MATCH(O95,Define!J:J))</f>
        <v>自身</v>
      </c>
      <c r="Q95">
        <v>4</v>
      </c>
      <c r="R95" t="str">
        <f>INDEX(Define!N:N,MATCH(Q95,Define!M:M))</f>
        <v>自身</v>
      </c>
      <c r="S95">
        <v>1</v>
      </c>
      <c r="T95">
        <v>1</v>
      </c>
      <c r="U95">
        <v>1</v>
      </c>
      <c r="V95" s="5">
        <v>0</v>
      </c>
    </row>
    <row r="96" ht="12" customHeight="1" spans="1:22">
      <c r="A96">
        <v>15010</v>
      </c>
      <c r="B96">
        <v>15010</v>
      </c>
      <c r="C96" t="str">
        <f>INDEX(TextData!B:B,MATCH(B96,TextData!A:A))</f>
        <v>イーグルアイ</v>
      </c>
      <c r="D96">
        <v>6</v>
      </c>
      <c r="E96" t="str">
        <f>INDEX(Define!X:X,MATCH(D96,Define!W:W))</f>
        <v>自己強化</v>
      </c>
      <c r="F96">
        <v>51</v>
      </c>
      <c r="G96">
        <v>1</v>
      </c>
      <c r="H96" t="str">
        <f>INDEX(Define!B:B,MATCH(G96,Define!A:A))</f>
        <v>単体</v>
      </c>
      <c r="I96">
        <v>0</v>
      </c>
      <c r="J96">
        <v>10</v>
      </c>
      <c r="K96">
        <v>5</v>
      </c>
      <c r="L96" t="str">
        <f>INDEX(Define!E:E,MATCH(K96,Define!D:D))</f>
        <v>闇</v>
      </c>
      <c r="M96">
        <v>2</v>
      </c>
      <c r="N96" t="str">
        <f>INDEX(Define!H:H,MATCH(M96,Define!G:G))</f>
        <v>パッシブ</v>
      </c>
      <c r="O96">
        <v>4</v>
      </c>
      <c r="P96" t="str">
        <f>INDEX(Define!K:K,MATCH(O96,Define!J:J))</f>
        <v>自身</v>
      </c>
      <c r="Q96">
        <v>4</v>
      </c>
      <c r="R96" t="str">
        <f>INDEX(Define!N:N,MATCH(Q96,Define!M:M))</f>
        <v>自身</v>
      </c>
      <c r="S96">
        <v>1</v>
      </c>
      <c r="T96">
        <v>1</v>
      </c>
      <c r="U96">
        <v>1</v>
      </c>
      <c r="V96" s="5">
        <v>0</v>
      </c>
    </row>
    <row r="97" ht="12" customHeight="1" spans="1:22">
      <c r="A97">
        <v>15020</v>
      </c>
      <c r="B97">
        <v>15020</v>
      </c>
      <c r="C97" t="str">
        <f>INDEX(TextData!B:B,MATCH(B97,TextData!A:A))</f>
        <v>ネヴァーエンド</v>
      </c>
      <c r="D97">
        <v>6</v>
      </c>
      <c r="E97" t="str">
        <f>INDEX(Define!X:X,MATCH(D97,Define!W:W))</f>
        <v>自己強化</v>
      </c>
      <c r="F97">
        <v>51</v>
      </c>
      <c r="G97">
        <v>1</v>
      </c>
      <c r="H97" t="str">
        <f>INDEX(Define!B:B,MATCH(G97,Define!A:A))</f>
        <v>単体</v>
      </c>
      <c r="I97">
        <v>0</v>
      </c>
      <c r="J97">
        <v>10</v>
      </c>
      <c r="K97">
        <v>5</v>
      </c>
      <c r="L97" t="str">
        <f>INDEX(Define!E:E,MATCH(K97,Define!D:D))</f>
        <v>闇</v>
      </c>
      <c r="M97">
        <v>2</v>
      </c>
      <c r="N97" t="str">
        <f>INDEX(Define!H:H,MATCH(M97,Define!G:G))</f>
        <v>パッシブ</v>
      </c>
      <c r="O97">
        <v>4</v>
      </c>
      <c r="P97" t="str">
        <f>INDEX(Define!K:K,MATCH(O97,Define!J:J))</f>
        <v>自身</v>
      </c>
      <c r="Q97">
        <v>4</v>
      </c>
      <c r="R97" t="str">
        <f>INDEX(Define!N:N,MATCH(Q97,Define!M:M))</f>
        <v>自身</v>
      </c>
      <c r="S97">
        <v>1</v>
      </c>
      <c r="T97">
        <v>1</v>
      </c>
      <c r="U97">
        <v>1</v>
      </c>
      <c r="V97" s="5">
        <v>0</v>
      </c>
    </row>
    <row r="98" ht="12" customHeight="1" spans="1:22">
      <c r="A98">
        <v>15030</v>
      </c>
      <c r="B98">
        <v>15030</v>
      </c>
      <c r="C98" t="str">
        <f>INDEX(TextData!B:B,MATCH(B98,TextData!A:A))</f>
        <v>グレイブアクト</v>
      </c>
      <c r="D98">
        <v>6</v>
      </c>
      <c r="E98" t="str">
        <f>INDEX(Define!X:X,MATCH(D98,Define!W:W))</f>
        <v>自己強化</v>
      </c>
      <c r="F98">
        <v>51</v>
      </c>
      <c r="G98">
        <v>1</v>
      </c>
      <c r="H98" t="str">
        <f>INDEX(Define!B:B,MATCH(G98,Define!A:A))</f>
        <v>単体</v>
      </c>
      <c r="I98">
        <v>0</v>
      </c>
      <c r="J98">
        <v>10</v>
      </c>
      <c r="K98">
        <v>5</v>
      </c>
      <c r="L98" t="str">
        <f>INDEX(Define!E:E,MATCH(K98,Define!D:D))</f>
        <v>闇</v>
      </c>
      <c r="M98">
        <v>2</v>
      </c>
      <c r="N98" t="str">
        <f>INDEX(Define!H:H,MATCH(M98,Define!G:G))</f>
        <v>パッシブ</v>
      </c>
      <c r="O98">
        <v>4</v>
      </c>
      <c r="P98" t="str">
        <f>INDEX(Define!K:K,MATCH(O98,Define!J:J))</f>
        <v>自身</v>
      </c>
      <c r="Q98">
        <v>4</v>
      </c>
      <c r="R98" t="str">
        <f>INDEX(Define!N:N,MATCH(Q98,Define!M:M))</f>
        <v>自身</v>
      </c>
      <c r="S98">
        <v>1</v>
      </c>
      <c r="T98">
        <v>1</v>
      </c>
      <c r="U98">
        <v>1</v>
      </c>
      <c r="V98" s="5">
        <v>0</v>
      </c>
    </row>
    <row r="99" ht="12" customHeight="1" spans="1:22">
      <c r="A99">
        <v>15040</v>
      </c>
      <c r="B99">
        <v>15040</v>
      </c>
      <c r="C99" t="str">
        <f>INDEX(TextData!B:B,MATCH(B99,TextData!A:A))</f>
        <v>スカルグラッジ</v>
      </c>
      <c r="D99">
        <v>6</v>
      </c>
      <c r="E99" t="str">
        <f>INDEX(Define!X:X,MATCH(D99,Define!W:W))</f>
        <v>自己強化</v>
      </c>
      <c r="F99">
        <v>51</v>
      </c>
      <c r="G99">
        <v>1</v>
      </c>
      <c r="H99" t="str">
        <f>INDEX(Define!B:B,MATCH(G99,Define!A:A))</f>
        <v>単体</v>
      </c>
      <c r="I99">
        <v>0</v>
      </c>
      <c r="J99">
        <v>10</v>
      </c>
      <c r="K99">
        <v>5</v>
      </c>
      <c r="L99" t="str">
        <f>INDEX(Define!E:E,MATCH(K99,Define!D:D))</f>
        <v>闇</v>
      </c>
      <c r="M99">
        <v>2</v>
      </c>
      <c r="N99" t="str">
        <f>INDEX(Define!H:H,MATCH(M99,Define!G:G))</f>
        <v>パッシブ</v>
      </c>
      <c r="O99">
        <v>4</v>
      </c>
      <c r="P99" t="str">
        <f>INDEX(Define!K:K,MATCH(O99,Define!J:J))</f>
        <v>自身</v>
      </c>
      <c r="Q99">
        <v>4</v>
      </c>
      <c r="R99" t="str">
        <f>INDEX(Define!N:N,MATCH(Q99,Define!M:M))</f>
        <v>自身</v>
      </c>
      <c r="S99">
        <v>1</v>
      </c>
      <c r="T99">
        <v>1</v>
      </c>
      <c r="U99">
        <v>1</v>
      </c>
      <c r="V99" s="5">
        <v>0</v>
      </c>
    </row>
    <row r="100" ht="12" customHeight="1" spans="1:22">
      <c r="A100">
        <v>15050</v>
      </c>
      <c r="B100">
        <v>15050</v>
      </c>
      <c r="C100" t="str">
        <f>INDEX(TextData!B:B,MATCH(B100,TextData!A:A))</f>
        <v>ネガティブドレイン</v>
      </c>
      <c r="D100">
        <v>6</v>
      </c>
      <c r="E100" t="str">
        <f>INDEX(Define!X:X,MATCH(D100,Define!W:W))</f>
        <v>自己強化</v>
      </c>
      <c r="F100">
        <v>51</v>
      </c>
      <c r="G100">
        <v>1</v>
      </c>
      <c r="H100" t="str">
        <f>INDEX(Define!B:B,MATCH(G100,Define!A:A))</f>
        <v>単体</v>
      </c>
      <c r="I100">
        <v>0</v>
      </c>
      <c r="J100">
        <v>10</v>
      </c>
      <c r="K100">
        <v>5</v>
      </c>
      <c r="L100" t="str">
        <f>INDEX(Define!E:E,MATCH(K100,Define!D:D))</f>
        <v>闇</v>
      </c>
      <c r="M100">
        <v>2</v>
      </c>
      <c r="N100" t="str">
        <f>INDEX(Define!H:H,MATCH(M100,Define!G:G))</f>
        <v>パッシブ</v>
      </c>
      <c r="O100">
        <v>4</v>
      </c>
      <c r="P100" t="str">
        <f>INDEX(Define!K:K,MATCH(O100,Define!J:J))</f>
        <v>自身</v>
      </c>
      <c r="Q100">
        <v>4</v>
      </c>
      <c r="R100" t="str">
        <f>INDEX(Define!N:N,MATCH(Q100,Define!M:M))</f>
        <v>自身</v>
      </c>
      <c r="S100">
        <v>1</v>
      </c>
      <c r="T100">
        <v>1</v>
      </c>
      <c r="U100">
        <v>1</v>
      </c>
      <c r="V100" s="5">
        <v>0</v>
      </c>
    </row>
    <row r="101" ht="12" customHeight="1" spans="1:22">
      <c r="A101">
        <v>15060</v>
      </c>
      <c r="B101">
        <v>15060</v>
      </c>
      <c r="C101" t="str">
        <f>INDEX(TextData!B:B,MATCH(B101,TextData!A:A))</f>
        <v>アンデッドペイン</v>
      </c>
      <c r="D101">
        <v>6</v>
      </c>
      <c r="E101" t="str">
        <f>INDEX(Define!X:X,MATCH(D101,Define!W:W))</f>
        <v>自己強化</v>
      </c>
      <c r="F101">
        <v>51</v>
      </c>
      <c r="G101">
        <v>1</v>
      </c>
      <c r="H101" t="str">
        <f>INDEX(Define!B:B,MATCH(G101,Define!A:A))</f>
        <v>単体</v>
      </c>
      <c r="I101">
        <v>0</v>
      </c>
      <c r="J101">
        <v>20</v>
      </c>
      <c r="K101">
        <v>5</v>
      </c>
      <c r="L101" t="str">
        <f>INDEX(Define!E:E,MATCH(K101,Define!D:D))</f>
        <v>闇</v>
      </c>
      <c r="M101">
        <v>2</v>
      </c>
      <c r="N101" t="str">
        <f>INDEX(Define!H:H,MATCH(M101,Define!G:G))</f>
        <v>パッシブ</v>
      </c>
      <c r="O101">
        <v>4</v>
      </c>
      <c r="P101" t="str">
        <f>INDEX(Define!K:K,MATCH(O101,Define!J:J))</f>
        <v>自身</v>
      </c>
      <c r="Q101">
        <v>4</v>
      </c>
      <c r="R101" t="str">
        <f>INDEX(Define!N:N,MATCH(Q101,Define!M:M))</f>
        <v>自身</v>
      </c>
      <c r="S101">
        <v>1</v>
      </c>
      <c r="T101">
        <v>1</v>
      </c>
      <c r="U101">
        <v>1</v>
      </c>
      <c r="V101" s="5">
        <v>0</v>
      </c>
    </row>
    <row r="102" ht="12" customHeight="1" spans="1:22">
      <c r="A102">
        <v>15070</v>
      </c>
      <c r="B102">
        <v>15070</v>
      </c>
      <c r="C102" t="str">
        <f>INDEX(TextData!B:B,MATCH(B102,TextData!A:A))</f>
        <v>ジャックポッド</v>
      </c>
      <c r="D102">
        <v>6</v>
      </c>
      <c r="E102" t="str">
        <f>INDEX(Define!X:X,MATCH(D102,Define!W:W))</f>
        <v>自己強化</v>
      </c>
      <c r="F102">
        <v>51</v>
      </c>
      <c r="G102">
        <v>1</v>
      </c>
      <c r="H102" t="str">
        <f>INDEX(Define!B:B,MATCH(G102,Define!A:A))</f>
        <v>単体</v>
      </c>
      <c r="I102">
        <v>3</v>
      </c>
      <c r="J102">
        <v>20</v>
      </c>
      <c r="K102">
        <v>5</v>
      </c>
      <c r="L102" t="str">
        <f>INDEX(Define!E:E,MATCH(K102,Define!D:D))</f>
        <v>闇</v>
      </c>
      <c r="M102">
        <v>2</v>
      </c>
      <c r="N102" t="str">
        <f>INDEX(Define!H:H,MATCH(M102,Define!G:G))</f>
        <v>パッシブ</v>
      </c>
      <c r="O102">
        <v>11</v>
      </c>
      <c r="P102" t="str">
        <f>INDEX(Define!K:K,MATCH(O102,Define!J:J))</f>
        <v>Triggerの条件を満たす</v>
      </c>
      <c r="Q102">
        <v>1</v>
      </c>
      <c r="R102" t="str">
        <f>INDEX(Define!N:N,MATCH(Q102,Define!M:M))</f>
        <v>単体</v>
      </c>
      <c r="S102">
        <v>1</v>
      </c>
      <c r="T102">
        <v>1</v>
      </c>
      <c r="U102">
        <v>1</v>
      </c>
      <c r="V102" s="5">
        <v>1</v>
      </c>
    </row>
    <row r="103" ht="12" customHeight="1" spans="1:22">
      <c r="A103">
        <v>15080</v>
      </c>
      <c r="B103">
        <v>15080</v>
      </c>
      <c r="C103" t="str">
        <f>INDEX(TextData!B:B,MATCH(B103,TextData!A:A))</f>
        <v>ヒールハント</v>
      </c>
      <c r="D103">
        <v>6</v>
      </c>
      <c r="E103" t="str">
        <f>INDEX(Define!X:X,MATCH(D103,Define!W:W))</f>
        <v>自己強化</v>
      </c>
      <c r="F103">
        <v>51</v>
      </c>
      <c r="G103">
        <v>1</v>
      </c>
      <c r="H103" t="str">
        <f>INDEX(Define!B:B,MATCH(G103,Define!A:A))</f>
        <v>単体</v>
      </c>
      <c r="I103">
        <v>2</v>
      </c>
      <c r="J103">
        <v>20</v>
      </c>
      <c r="K103">
        <v>5</v>
      </c>
      <c r="L103" t="str">
        <f>INDEX(Define!E:E,MATCH(K103,Define!D:D))</f>
        <v>闇</v>
      </c>
      <c r="M103">
        <v>2</v>
      </c>
      <c r="N103" t="str">
        <f>INDEX(Define!H:H,MATCH(M103,Define!G:G))</f>
        <v>パッシブ</v>
      </c>
      <c r="O103">
        <v>6</v>
      </c>
      <c r="P103" t="str">
        <f>INDEX(Define!K:K,MATCH(O103,Define!J:J))</f>
        <v>反撃</v>
      </c>
      <c r="Q103">
        <v>1</v>
      </c>
      <c r="R103" t="str">
        <f>INDEX(Define!N:N,MATCH(Q103,Define!M:M))</f>
        <v>単体</v>
      </c>
      <c r="S103">
        <v>2</v>
      </c>
      <c r="T103">
        <v>1</v>
      </c>
      <c r="U103">
        <v>1</v>
      </c>
      <c r="V103" s="5">
        <v>0</v>
      </c>
    </row>
    <row r="104" ht="12" customHeight="1" spans="1:22">
      <c r="A104">
        <v>15090</v>
      </c>
      <c r="B104">
        <v>15090</v>
      </c>
      <c r="C104" t="str">
        <f>INDEX(TextData!B:B,MATCH(B104,TextData!A:A))</f>
        <v>クイックカース</v>
      </c>
      <c r="D104">
        <v>6</v>
      </c>
      <c r="E104" t="str">
        <f>INDEX(Define!X:X,MATCH(D104,Define!W:W))</f>
        <v>自己強化</v>
      </c>
      <c r="F104">
        <v>61</v>
      </c>
      <c r="G104">
        <v>1</v>
      </c>
      <c r="H104" t="str">
        <f>INDEX(Define!B:B,MATCH(G104,Define!A:A))</f>
        <v>単体</v>
      </c>
      <c r="I104">
        <v>2</v>
      </c>
      <c r="J104">
        <v>20</v>
      </c>
      <c r="K104">
        <v>5</v>
      </c>
      <c r="L104" t="str">
        <f>INDEX(Define!E:E,MATCH(K104,Define!D:D))</f>
        <v>闇</v>
      </c>
      <c r="M104">
        <v>2</v>
      </c>
      <c r="N104" t="str">
        <f>INDEX(Define!H:H,MATCH(M104,Define!G:G))</f>
        <v>パッシブ</v>
      </c>
      <c r="O104">
        <v>6</v>
      </c>
      <c r="P104" t="str">
        <f>INDEX(Define!K:K,MATCH(O104,Define!J:J))</f>
        <v>反撃</v>
      </c>
      <c r="Q104">
        <v>1</v>
      </c>
      <c r="R104" t="str">
        <f>INDEX(Define!N:N,MATCH(Q104,Define!M:M))</f>
        <v>単体</v>
      </c>
      <c r="S104">
        <v>2</v>
      </c>
      <c r="T104">
        <v>1</v>
      </c>
      <c r="U104">
        <v>1</v>
      </c>
      <c r="V104" s="5">
        <v>0</v>
      </c>
    </row>
    <row r="105" ht="12" customHeight="1" spans="1:22">
      <c r="A105">
        <v>20010</v>
      </c>
      <c r="B105">
        <v>20010</v>
      </c>
      <c r="C105" t="str">
        <f>INDEX(TextData!B:B,MATCH(B105,TextData!A:A))</f>
        <v>ウェイトユニゾン</v>
      </c>
      <c r="D105">
        <v>99</v>
      </c>
      <c r="E105" t="str">
        <f>INDEX(Define!X:X,MATCH(D105,Define!W:W))</f>
        <v>その他</v>
      </c>
      <c r="F105">
        <v>0</v>
      </c>
      <c r="G105">
        <v>1</v>
      </c>
      <c r="H105" t="str">
        <f>INDEX(Define!B:B,MATCH(G105,Define!A:A))</f>
        <v>単体</v>
      </c>
      <c r="I105">
        <v>0</v>
      </c>
      <c r="J105">
        <v>0</v>
      </c>
      <c r="K105">
        <v>0</v>
      </c>
      <c r="L105" t="str">
        <f>INDEX(Define!E:E,MATCH(K105,Define!D:D))</f>
        <v>なし</v>
      </c>
      <c r="M105">
        <v>1</v>
      </c>
      <c r="N105" t="str">
        <f>INDEX(Define!H:H,MATCH(M105,Define!G:G))</f>
        <v>魔法</v>
      </c>
      <c r="O105">
        <v>4</v>
      </c>
      <c r="P105" t="str">
        <f>INDEX(Define!K:K,MATCH(O105,Define!J:J))</f>
        <v>自身</v>
      </c>
      <c r="Q105">
        <v>4</v>
      </c>
      <c r="R105" t="str">
        <f>INDEX(Define!N:N,MATCH(Q105,Define!M:M))</f>
        <v>自身</v>
      </c>
      <c r="S105">
        <v>1</v>
      </c>
      <c r="T105">
        <v>1</v>
      </c>
      <c r="U105">
        <v>1</v>
      </c>
      <c r="V105" s="5">
        <v>0</v>
      </c>
    </row>
    <row r="106" spans="1:22">
      <c r="A106">
        <v>100110</v>
      </c>
      <c r="B106">
        <v>100110</v>
      </c>
      <c r="C106" t="str">
        <f>INDEX(TextData!B:B,MATCH(B106,TextData!A:A))</f>
        <v>ソーイングアームド</v>
      </c>
      <c r="D106">
        <v>10</v>
      </c>
      <c r="E106" t="str">
        <f>INDEX(Define!X:X,MATCH(D106,Define!W:W))</f>
        <v>半神</v>
      </c>
      <c r="F106">
        <v>51</v>
      </c>
      <c r="G106">
        <v>1</v>
      </c>
      <c r="H106" t="str">
        <f>INDEX(Define!B:B,MATCH(G106,Define!A:A))</f>
        <v>単体</v>
      </c>
      <c r="I106">
        <v>0</v>
      </c>
      <c r="J106">
        <v>1000</v>
      </c>
      <c r="K106">
        <v>1</v>
      </c>
      <c r="L106" t="str">
        <f>INDEX(Define!E:E,MATCH(K106,Define!D:D))</f>
        <v>炎</v>
      </c>
      <c r="M106">
        <v>3</v>
      </c>
      <c r="N106" t="str">
        <f>INDEX(Define!H:H,MATCH(M106,Define!G:G))</f>
        <v>神化</v>
      </c>
      <c r="O106">
        <v>4</v>
      </c>
      <c r="P106" t="str">
        <f>INDEX(Define!K:K,MATCH(O106,Define!J:J))</f>
        <v>自身</v>
      </c>
      <c r="Q106">
        <v>2</v>
      </c>
      <c r="R106" t="str">
        <f>INDEX(Define!N:N,MATCH(Q106,Define!M:M))</f>
        <v>列</v>
      </c>
      <c r="S106">
        <v>2</v>
      </c>
      <c r="T106">
        <v>1</v>
      </c>
      <c r="U106">
        <v>1</v>
      </c>
      <c r="V106" s="5">
        <v>0</v>
      </c>
    </row>
    <row r="107" spans="1:22">
      <c r="A107">
        <v>100120</v>
      </c>
      <c r="B107">
        <v>100120</v>
      </c>
      <c r="C107" t="str">
        <f>INDEX(TextData!B:B,MATCH(B107,TextData!A:A))</f>
        <v>エターナルロンド</v>
      </c>
      <c r="D107">
        <v>11</v>
      </c>
      <c r="E107" t="str">
        <f>INDEX(Define!X:X,MATCH(D107,Define!W:W))</f>
        <v>覚醒</v>
      </c>
      <c r="F107">
        <v>121</v>
      </c>
      <c r="G107">
        <v>1</v>
      </c>
      <c r="H107" t="str">
        <f>INDEX(Define!B:B,MATCH(G107,Define!A:A))</f>
        <v>単体</v>
      </c>
      <c r="I107">
        <v>0</v>
      </c>
      <c r="J107">
        <v>1000</v>
      </c>
      <c r="K107">
        <v>1</v>
      </c>
      <c r="L107" t="str">
        <f>INDEX(Define!E:E,MATCH(K107,Define!D:D))</f>
        <v>炎</v>
      </c>
      <c r="M107">
        <v>4</v>
      </c>
      <c r="N107" t="str">
        <f>INDEX(Define!H:H,MATCH(M107,Define!G:G))</f>
        <v>覚醒</v>
      </c>
      <c r="O107">
        <v>1</v>
      </c>
      <c r="P107" t="str">
        <f>INDEX(Define!K:K,MATCH(O107,Define!J:J))</f>
        <v>相手</v>
      </c>
      <c r="Q107">
        <v>2</v>
      </c>
      <c r="R107" t="str">
        <f>INDEX(Define!N:N,MATCH(Q107,Define!M:M))</f>
        <v>列</v>
      </c>
      <c r="S107">
        <v>1</v>
      </c>
      <c r="T107">
        <v>1</v>
      </c>
      <c r="U107">
        <v>1</v>
      </c>
      <c r="V107" s="5">
        <v>0</v>
      </c>
    </row>
    <row r="108" spans="1:22">
      <c r="A108">
        <v>100210</v>
      </c>
      <c r="B108">
        <v>100210</v>
      </c>
      <c r="C108" t="str">
        <f>INDEX(TextData!B:B,MATCH(B108,TextData!A:A))</f>
        <v>アブソリュートパリィ</v>
      </c>
      <c r="D108">
        <v>10</v>
      </c>
      <c r="E108" t="str">
        <f>INDEX(Define!X:X,MATCH(D108,Define!W:W))</f>
        <v>半神</v>
      </c>
      <c r="F108">
        <v>51</v>
      </c>
      <c r="G108">
        <v>1</v>
      </c>
      <c r="H108" t="str">
        <f>INDEX(Define!B:B,MATCH(G108,Define!A:A))</f>
        <v>単体</v>
      </c>
      <c r="I108">
        <v>0</v>
      </c>
      <c r="J108">
        <v>1000</v>
      </c>
      <c r="K108">
        <v>2</v>
      </c>
      <c r="L108" t="str">
        <f>INDEX(Define!E:E,MATCH(K108,Define!D:D))</f>
        <v>雷</v>
      </c>
      <c r="M108">
        <v>3</v>
      </c>
      <c r="N108" t="str">
        <f>INDEX(Define!H:H,MATCH(M108,Define!G:G))</f>
        <v>神化</v>
      </c>
      <c r="O108">
        <v>4</v>
      </c>
      <c r="P108" t="str">
        <f>INDEX(Define!K:K,MATCH(O108,Define!J:J))</f>
        <v>自身</v>
      </c>
      <c r="Q108">
        <v>4</v>
      </c>
      <c r="R108" t="str">
        <f>INDEX(Define!N:N,MATCH(Q108,Define!M:M))</f>
        <v>自身</v>
      </c>
      <c r="S108">
        <v>1</v>
      </c>
      <c r="T108">
        <v>1</v>
      </c>
      <c r="U108">
        <v>1</v>
      </c>
      <c r="V108" s="5">
        <v>0</v>
      </c>
    </row>
    <row r="109" spans="1:22">
      <c r="A109">
        <v>100220</v>
      </c>
      <c r="B109">
        <v>100220</v>
      </c>
      <c r="C109" t="str">
        <f>INDEX(TextData!B:B,MATCH(B109,TextData!A:A))</f>
        <v>レヴェリー</v>
      </c>
      <c r="D109">
        <v>11</v>
      </c>
      <c r="E109" t="str">
        <f>INDEX(Define!X:X,MATCH(D109,Define!W:W))</f>
        <v>覚醒</v>
      </c>
      <c r="F109">
        <v>1002</v>
      </c>
      <c r="G109">
        <v>1</v>
      </c>
      <c r="H109" t="str">
        <f>INDEX(Define!B:B,MATCH(G109,Define!A:A))</f>
        <v>単体</v>
      </c>
      <c r="I109">
        <v>0</v>
      </c>
      <c r="J109">
        <v>1000</v>
      </c>
      <c r="K109">
        <v>2</v>
      </c>
      <c r="L109" t="str">
        <f>INDEX(Define!E:E,MATCH(K109,Define!D:D))</f>
        <v>雷</v>
      </c>
      <c r="M109">
        <v>4</v>
      </c>
      <c r="N109" t="str">
        <f>INDEX(Define!H:H,MATCH(M109,Define!G:G))</f>
        <v>覚醒</v>
      </c>
      <c r="O109">
        <v>1</v>
      </c>
      <c r="P109" t="str">
        <f>INDEX(Define!K:K,MATCH(O109,Define!J:J))</f>
        <v>相手</v>
      </c>
      <c r="Q109">
        <v>3</v>
      </c>
      <c r="R109" t="str">
        <f>INDEX(Define!N:N,MATCH(Q109,Define!M:M))</f>
        <v>全体</v>
      </c>
      <c r="S109">
        <v>2</v>
      </c>
      <c r="T109">
        <v>7</v>
      </c>
      <c r="U109">
        <v>1</v>
      </c>
      <c r="V109" s="5">
        <v>0</v>
      </c>
    </row>
    <row r="110" spans="1:22">
      <c r="A110">
        <v>100310</v>
      </c>
      <c r="B110">
        <v>100310</v>
      </c>
      <c r="C110" t="str">
        <f>INDEX(TextData!B:B,MATCH(B110,TextData!A:A))</f>
        <v>セイクリッドバリア</v>
      </c>
      <c r="D110">
        <v>10</v>
      </c>
      <c r="E110" t="str">
        <f>INDEX(Define!X:X,MATCH(D110,Define!W:W))</f>
        <v>半神</v>
      </c>
      <c r="F110">
        <v>51</v>
      </c>
      <c r="G110">
        <v>1</v>
      </c>
      <c r="H110" t="str">
        <f>INDEX(Define!B:B,MATCH(G110,Define!A:A))</f>
        <v>単体</v>
      </c>
      <c r="I110">
        <v>0</v>
      </c>
      <c r="J110">
        <v>1000</v>
      </c>
      <c r="K110">
        <v>3</v>
      </c>
      <c r="L110" t="str">
        <f>INDEX(Define!E:E,MATCH(K110,Define!D:D))</f>
        <v>氷</v>
      </c>
      <c r="M110">
        <v>3</v>
      </c>
      <c r="N110" t="str">
        <f>INDEX(Define!H:H,MATCH(M110,Define!G:G))</f>
        <v>神化</v>
      </c>
      <c r="O110">
        <v>2</v>
      </c>
      <c r="P110" t="str">
        <f>INDEX(Define!K:K,MATCH(O110,Define!J:J))</f>
        <v>味方</v>
      </c>
      <c r="Q110">
        <v>3</v>
      </c>
      <c r="R110" t="str">
        <f>INDEX(Define!N:N,MATCH(Q110,Define!M:M))</f>
        <v>全体</v>
      </c>
      <c r="S110">
        <v>2</v>
      </c>
      <c r="T110">
        <v>1</v>
      </c>
      <c r="U110">
        <v>1</v>
      </c>
      <c r="V110" s="5">
        <v>0</v>
      </c>
    </row>
    <row r="111" spans="1:22">
      <c r="A111">
        <v>100320</v>
      </c>
      <c r="B111">
        <v>100320</v>
      </c>
      <c r="C111" t="str">
        <f>INDEX(TextData!B:B,MATCH(B111,TextData!A:A))</f>
        <v>リベンジニードル</v>
      </c>
      <c r="D111">
        <v>11</v>
      </c>
      <c r="E111" t="str">
        <f>INDEX(Define!X:X,MATCH(D111,Define!W:W))</f>
        <v>覚醒</v>
      </c>
      <c r="F111">
        <v>1003</v>
      </c>
      <c r="G111">
        <v>1</v>
      </c>
      <c r="H111" t="str">
        <f>INDEX(Define!B:B,MATCH(G111,Define!A:A))</f>
        <v>単体</v>
      </c>
      <c r="I111">
        <v>0</v>
      </c>
      <c r="J111">
        <v>1000</v>
      </c>
      <c r="K111">
        <v>3</v>
      </c>
      <c r="L111" t="str">
        <f>INDEX(Define!E:E,MATCH(K111,Define!D:D))</f>
        <v>氷</v>
      </c>
      <c r="M111">
        <v>4</v>
      </c>
      <c r="N111" t="str">
        <f>INDEX(Define!H:H,MATCH(M111,Define!G:G))</f>
        <v>覚醒</v>
      </c>
      <c r="O111">
        <v>1</v>
      </c>
      <c r="P111" t="str">
        <f>INDEX(Define!K:K,MATCH(O111,Define!J:J))</f>
        <v>相手</v>
      </c>
      <c r="Q111">
        <v>3</v>
      </c>
      <c r="R111" t="str">
        <f>INDEX(Define!N:N,MATCH(Q111,Define!M:M))</f>
        <v>全体</v>
      </c>
      <c r="S111">
        <v>1</v>
      </c>
      <c r="T111">
        <v>1</v>
      </c>
      <c r="U111">
        <v>1</v>
      </c>
      <c r="V111" s="5">
        <v>0</v>
      </c>
    </row>
    <row r="112" spans="1:22">
      <c r="A112">
        <v>100410</v>
      </c>
      <c r="B112">
        <v>100410</v>
      </c>
      <c r="C112" t="str">
        <f>INDEX(TextData!B:B,MATCH(B112,TextData!A:A))</f>
        <v>アバンデンス</v>
      </c>
      <c r="D112">
        <v>10</v>
      </c>
      <c r="E112" t="str">
        <f>INDEX(Define!X:X,MATCH(D112,Define!W:W))</f>
        <v>半神</v>
      </c>
      <c r="F112">
        <v>401</v>
      </c>
      <c r="G112">
        <v>1</v>
      </c>
      <c r="H112" t="str">
        <f>INDEX(Define!B:B,MATCH(G112,Define!A:A))</f>
        <v>単体</v>
      </c>
      <c r="I112">
        <v>0</v>
      </c>
      <c r="J112">
        <v>1000</v>
      </c>
      <c r="K112">
        <v>4</v>
      </c>
      <c r="L112" t="str">
        <f>INDEX(Define!E:E,MATCH(K112,Define!D:D))</f>
        <v>光</v>
      </c>
      <c r="M112">
        <v>3</v>
      </c>
      <c r="N112" t="str">
        <f>INDEX(Define!H:H,MATCH(M112,Define!G:G))</f>
        <v>神化</v>
      </c>
      <c r="O112">
        <v>2</v>
      </c>
      <c r="P112" t="str">
        <f>INDEX(Define!K:K,MATCH(O112,Define!J:J))</f>
        <v>味方</v>
      </c>
      <c r="Q112">
        <v>3</v>
      </c>
      <c r="R112" t="str">
        <f>INDEX(Define!N:N,MATCH(Q112,Define!M:M))</f>
        <v>全体</v>
      </c>
      <c r="S112">
        <v>2</v>
      </c>
      <c r="T112">
        <v>1</v>
      </c>
      <c r="U112">
        <v>0</v>
      </c>
      <c r="V112" s="5">
        <v>0</v>
      </c>
    </row>
    <row r="113" spans="1:22">
      <c r="A113">
        <v>100420</v>
      </c>
      <c r="B113">
        <v>100420</v>
      </c>
      <c r="C113" t="str">
        <f>INDEX(TextData!B:B,MATCH(B113,TextData!A:A))</f>
        <v>ハーヴェスト</v>
      </c>
      <c r="D113">
        <v>11</v>
      </c>
      <c r="E113" t="str">
        <f>INDEX(Define!X:X,MATCH(D113,Define!W:W))</f>
        <v>覚醒</v>
      </c>
      <c r="F113">
        <v>1004</v>
      </c>
      <c r="G113">
        <v>1</v>
      </c>
      <c r="H113" t="str">
        <f>INDEX(Define!B:B,MATCH(G113,Define!A:A))</f>
        <v>単体</v>
      </c>
      <c r="I113">
        <v>0</v>
      </c>
      <c r="J113">
        <v>1000</v>
      </c>
      <c r="K113">
        <v>4</v>
      </c>
      <c r="L113" t="str">
        <f>INDEX(Define!E:E,MATCH(K113,Define!D:D))</f>
        <v>光</v>
      </c>
      <c r="M113">
        <v>4</v>
      </c>
      <c r="N113" t="str">
        <f>INDEX(Define!H:H,MATCH(M113,Define!G:G))</f>
        <v>覚醒</v>
      </c>
      <c r="O113">
        <v>2</v>
      </c>
      <c r="P113" t="str">
        <f>INDEX(Define!K:K,MATCH(O113,Define!J:J))</f>
        <v>味方</v>
      </c>
      <c r="Q113">
        <v>3</v>
      </c>
      <c r="R113" t="str">
        <f>INDEX(Define!N:N,MATCH(Q113,Define!M:M))</f>
        <v>全体</v>
      </c>
      <c r="S113">
        <v>2</v>
      </c>
      <c r="T113">
        <v>1</v>
      </c>
      <c r="U113">
        <v>1</v>
      </c>
      <c r="V113" s="5">
        <v>0</v>
      </c>
    </row>
    <row r="114" ht="12" customHeight="1" spans="1:22">
      <c r="A114">
        <v>100510</v>
      </c>
      <c r="B114">
        <v>100510</v>
      </c>
      <c r="C114" t="str">
        <f>INDEX(TextData!B:B,MATCH(B114,TextData!A:A))</f>
        <v>カースドブレイク</v>
      </c>
      <c r="D114">
        <v>10</v>
      </c>
      <c r="E114" t="str">
        <f>INDEX(Define!X:X,MATCH(D114,Define!W:W))</f>
        <v>半神</v>
      </c>
      <c r="F114">
        <v>51</v>
      </c>
      <c r="G114">
        <v>1</v>
      </c>
      <c r="H114" t="str">
        <f>INDEX(Define!B:B,MATCH(G114,Define!A:A))</f>
        <v>単体</v>
      </c>
      <c r="I114">
        <v>0</v>
      </c>
      <c r="J114">
        <v>1000</v>
      </c>
      <c r="K114">
        <v>5</v>
      </c>
      <c r="L114" t="str">
        <f>INDEX(Define!E:E,MATCH(K114,Define!D:D))</f>
        <v>闇</v>
      </c>
      <c r="M114">
        <v>3</v>
      </c>
      <c r="N114" t="str">
        <f>INDEX(Define!H:H,MATCH(M114,Define!G:G))</f>
        <v>神化</v>
      </c>
      <c r="O114">
        <v>4</v>
      </c>
      <c r="P114" t="str">
        <f>INDEX(Define!K:K,MATCH(O114,Define!J:J))</f>
        <v>自身</v>
      </c>
      <c r="Q114">
        <v>4</v>
      </c>
      <c r="R114" t="str">
        <f>INDEX(Define!N:N,MATCH(Q114,Define!M:M))</f>
        <v>自身</v>
      </c>
      <c r="S114">
        <v>1</v>
      </c>
      <c r="T114">
        <v>1</v>
      </c>
      <c r="U114">
        <v>1</v>
      </c>
      <c r="V114" s="5">
        <v>0</v>
      </c>
    </row>
    <row r="115" ht="12" customHeight="1" spans="1:22">
      <c r="A115">
        <v>100520</v>
      </c>
      <c r="B115">
        <v>100520</v>
      </c>
      <c r="C115" t="str">
        <f>INDEX(TextData!B:B,MATCH(B115,TextData!A:A))</f>
        <v>ムーンライトレイ</v>
      </c>
      <c r="D115">
        <v>11</v>
      </c>
      <c r="E115" t="str">
        <f>INDEX(Define!X:X,MATCH(D115,Define!W:W))</f>
        <v>覚醒</v>
      </c>
      <c r="F115">
        <v>1005</v>
      </c>
      <c r="G115">
        <v>1</v>
      </c>
      <c r="H115" t="str">
        <f>INDEX(Define!B:B,MATCH(G115,Define!A:A))</f>
        <v>単体</v>
      </c>
      <c r="I115">
        <v>0</v>
      </c>
      <c r="J115">
        <v>1000</v>
      </c>
      <c r="K115">
        <v>5</v>
      </c>
      <c r="L115" t="str">
        <f>INDEX(Define!E:E,MATCH(K115,Define!D:D))</f>
        <v>闇</v>
      </c>
      <c r="M115">
        <v>4</v>
      </c>
      <c r="N115" t="str">
        <f>INDEX(Define!H:H,MATCH(M115,Define!G:G))</f>
        <v>覚醒</v>
      </c>
      <c r="O115">
        <v>1</v>
      </c>
      <c r="P115" t="str">
        <f>INDEX(Define!K:K,MATCH(O115,Define!J:J))</f>
        <v>相手</v>
      </c>
      <c r="Q115">
        <v>3</v>
      </c>
      <c r="R115" t="str">
        <f>INDEX(Define!N:N,MATCH(Q115,Define!M:M))</f>
        <v>全体</v>
      </c>
      <c r="S115">
        <v>2</v>
      </c>
      <c r="T115">
        <v>1</v>
      </c>
      <c r="U115">
        <v>1</v>
      </c>
      <c r="V115" s="5">
        <v>0</v>
      </c>
    </row>
    <row r="116" spans="1:22">
      <c r="A116">
        <v>100610</v>
      </c>
      <c r="B116">
        <v>100610</v>
      </c>
      <c r="C116" t="str">
        <f>INDEX(TextData!B:B,MATCH(B116,TextData!A:A))</f>
        <v>サンフレイム</v>
      </c>
      <c r="D116">
        <v>10</v>
      </c>
      <c r="E116" t="str">
        <f>INDEX(Define!X:X,MATCH(D116,Define!W:W))</f>
        <v>半神</v>
      </c>
      <c r="F116">
        <v>51</v>
      </c>
      <c r="G116">
        <v>1</v>
      </c>
      <c r="H116" t="str">
        <f>INDEX(Define!B:B,MATCH(G116,Define!A:A))</f>
        <v>単体</v>
      </c>
      <c r="I116">
        <v>0</v>
      </c>
      <c r="J116">
        <v>1000</v>
      </c>
      <c r="K116">
        <v>1</v>
      </c>
      <c r="L116" t="str">
        <f>INDEX(Define!E:E,MATCH(K116,Define!D:D))</f>
        <v>炎</v>
      </c>
      <c r="M116">
        <v>3</v>
      </c>
      <c r="N116" t="str">
        <f>INDEX(Define!H:H,MATCH(M116,Define!G:G))</f>
        <v>神化</v>
      </c>
      <c r="O116">
        <v>4</v>
      </c>
      <c r="P116" t="str">
        <f>INDEX(Define!K:K,MATCH(O116,Define!J:J))</f>
        <v>自身</v>
      </c>
      <c r="Q116">
        <v>31</v>
      </c>
      <c r="R116" t="str">
        <f>INDEX(Define!N:N,MATCH(Q116,Define!M:M))</f>
        <v>単体と両隣</v>
      </c>
      <c r="S116">
        <v>2</v>
      </c>
      <c r="T116">
        <v>1</v>
      </c>
      <c r="U116">
        <v>1</v>
      </c>
      <c r="V116" s="5">
        <v>0</v>
      </c>
    </row>
    <row r="117" spans="1:22">
      <c r="A117">
        <v>100620</v>
      </c>
      <c r="B117">
        <v>100620</v>
      </c>
      <c r="C117" t="str">
        <f>INDEX(TextData!B:B,MATCH(B117,TextData!A:A))</f>
        <v>フレイムタン</v>
      </c>
      <c r="D117">
        <v>11</v>
      </c>
      <c r="E117" t="str">
        <f>INDEX(Define!X:X,MATCH(D117,Define!W:W))</f>
        <v>覚醒</v>
      </c>
      <c r="F117">
        <v>1005</v>
      </c>
      <c r="G117">
        <v>1</v>
      </c>
      <c r="H117" t="str">
        <f>INDEX(Define!B:B,MATCH(G117,Define!A:A))</f>
        <v>単体</v>
      </c>
      <c r="I117">
        <v>0</v>
      </c>
      <c r="J117">
        <v>1000</v>
      </c>
      <c r="K117">
        <v>1</v>
      </c>
      <c r="L117" t="str">
        <f>INDEX(Define!E:E,MATCH(K117,Define!D:D))</f>
        <v>炎</v>
      </c>
      <c r="M117">
        <v>4</v>
      </c>
      <c r="N117" t="str">
        <f>INDEX(Define!H:H,MATCH(M117,Define!G:G))</f>
        <v>覚醒</v>
      </c>
      <c r="O117">
        <v>1</v>
      </c>
      <c r="P117" t="str">
        <f>INDEX(Define!K:K,MATCH(O117,Define!J:J))</f>
        <v>相手</v>
      </c>
      <c r="Q117">
        <v>3</v>
      </c>
      <c r="R117" t="str">
        <f>INDEX(Define!N:N,MATCH(Q117,Define!M:M))</f>
        <v>全体</v>
      </c>
      <c r="S117">
        <v>2</v>
      </c>
      <c r="T117">
        <v>1</v>
      </c>
      <c r="U117">
        <v>1</v>
      </c>
      <c r="V117" s="5">
        <v>0</v>
      </c>
    </row>
    <row r="118" ht="12" customHeight="1" spans="1:22">
      <c r="A118">
        <v>100710</v>
      </c>
      <c r="B118">
        <v>100710</v>
      </c>
      <c r="C118" t="str">
        <f>INDEX(TextData!B:B,MATCH(B118,TextData!A:A))</f>
        <v>ライズザフラッグ</v>
      </c>
      <c r="D118">
        <v>10</v>
      </c>
      <c r="E118" t="str">
        <f>INDEX(Define!X:X,MATCH(D118,Define!W:W))</f>
        <v>半神</v>
      </c>
      <c r="F118">
        <v>201</v>
      </c>
      <c r="G118">
        <v>1</v>
      </c>
      <c r="H118" t="str">
        <f>INDEX(Define!B:B,MATCH(G118,Define!A:A))</f>
        <v>単体</v>
      </c>
      <c r="I118">
        <v>0</v>
      </c>
      <c r="J118">
        <v>1000</v>
      </c>
      <c r="K118">
        <v>2</v>
      </c>
      <c r="L118" t="str">
        <f>INDEX(Define!E:E,MATCH(K118,Define!D:D))</f>
        <v>雷</v>
      </c>
      <c r="M118">
        <v>3</v>
      </c>
      <c r="N118" t="str">
        <f>INDEX(Define!H:H,MATCH(M118,Define!G:G))</f>
        <v>神化</v>
      </c>
      <c r="O118">
        <v>4</v>
      </c>
      <c r="P118" t="str">
        <f>INDEX(Define!K:K,MATCH(O118,Define!J:J))</f>
        <v>自身</v>
      </c>
      <c r="Q118">
        <v>4</v>
      </c>
      <c r="R118" t="str">
        <f>INDEX(Define!N:N,MATCH(Q118,Define!M:M))</f>
        <v>自身</v>
      </c>
      <c r="S118">
        <v>1</v>
      </c>
      <c r="T118">
        <v>1</v>
      </c>
      <c r="U118">
        <v>1</v>
      </c>
      <c r="V118" s="5">
        <v>0</v>
      </c>
    </row>
    <row r="119" ht="12" customHeight="1" spans="1:22">
      <c r="A119">
        <v>100720</v>
      </c>
      <c r="B119">
        <v>100720</v>
      </c>
      <c r="C119" t="str">
        <f>INDEX(TextData!B:B,MATCH(B119,TextData!A:A))</f>
        <v>オーバーリミット</v>
      </c>
      <c r="D119">
        <v>11</v>
      </c>
      <c r="E119" t="str">
        <f>INDEX(Define!X:X,MATCH(D119,Define!W:W))</f>
        <v>覚醒</v>
      </c>
      <c r="F119">
        <v>1005</v>
      </c>
      <c r="G119">
        <v>1</v>
      </c>
      <c r="H119" t="str">
        <f>INDEX(Define!B:B,MATCH(G119,Define!A:A))</f>
        <v>単体</v>
      </c>
      <c r="I119">
        <v>0</v>
      </c>
      <c r="J119">
        <v>1000</v>
      </c>
      <c r="K119">
        <v>2</v>
      </c>
      <c r="L119" t="str">
        <f>INDEX(Define!E:E,MATCH(K119,Define!D:D))</f>
        <v>雷</v>
      </c>
      <c r="M119">
        <v>4</v>
      </c>
      <c r="N119" t="str">
        <f>INDEX(Define!H:H,MATCH(M119,Define!G:G))</f>
        <v>覚醒</v>
      </c>
      <c r="O119">
        <v>2</v>
      </c>
      <c r="P119" t="str">
        <f>INDEX(Define!K:K,MATCH(O119,Define!J:J))</f>
        <v>味方</v>
      </c>
      <c r="Q119">
        <v>2</v>
      </c>
      <c r="R119" t="str">
        <f>INDEX(Define!N:N,MATCH(Q119,Define!M:M))</f>
        <v>列</v>
      </c>
      <c r="S119">
        <v>1</v>
      </c>
      <c r="T119">
        <v>1</v>
      </c>
      <c r="U119">
        <v>1</v>
      </c>
      <c r="V119" s="5">
        <v>0</v>
      </c>
    </row>
    <row r="120" ht="12" customHeight="1" spans="1:22">
      <c r="A120">
        <v>100810</v>
      </c>
      <c r="B120">
        <v>100810</v>
      </c>
      <c r="C120" t="str">
        <f>INDEX(TextData!B:B,MATCH(B120,TextData!A:A))</f>
        <v>テンパランス</v>
      </c>
      <c r="D120">
        <v>10</v>
      </c>
      <c r="E120" t="str">
        <f>INDEX(Define!X:X,MATCH(D120,Define!W:W))</f>
        <v>半神</v>
      </c>
      <c r="F120">
        <v>51</v>
      </c>
      <c r="G120">
        <v>1</v>
      </c>
      <c r="H120" t="str">
        <f>INDEX(Define!B:B,MATCH(G120,Define!A:A))</f>
        <v>単体</v>
      </c>
      <c r="I120">
        <v>0</v>
      </c>
      <c r="J120">
        <v>1000</v>
      </c>
      <c r="K120">
        <v>3</v>
      </c>
      <c r="L120" t="str">
        <f>INDEX(Define!E:E,MATCH(K120,Define!D:D))</f>
        <v>氷</v>
      </c>
      <c r="M120">
        <v>3</v>
      </c>
      <c r="N120" t="str">
        <f>INDEX(Define!H:H,MATCH(M120,Define!G:G))</f>
        <v>神化</v>
      </c>
      <c r="O120">
        <v>2</v>
      </c>
      <c r="P120" t="str">
        <f>INDEX(Define!K:K,MATCH(O120,Define!J:J))</f>
        <v>味方</v>
      </c>
      <c r="Q120">
        <v>3</v>
      </c>
      <c r="R120" t="str">
        <f>INDEX(Define!N:N,MATCH(Q120,Define!M:M))</f>
        <v>全体</v>
      </c>
      <c r="S120">
        <v>2</v>
      </c>
      <c r="T120">
        <v>1</v>
      </c>
      <c r="U120">
        <v>1</v>
      </c>
      <c r="V120" s="5">
        <v>0</v>
      </c>
    </row>
    <row r="121" ht="12" customHeight="1" spans="1:22">
      <c r="A121">
        <v>100820</v>
      </c>
      <c r="B121">
        <v>100820</v>
      </c>
      <c r="C121" t="str">
        <f>INDEX(TextData!B:B,MATCH(B121,TextData!A:A))</f>
        <v>シエルクルセイダー</v>
      </c>
      <c r="D121">
        <v>11</v>
      </c>
      <c r="E121" t="str">
        <f>INDEX(Define!X:X,MATCH(D121,Define!W:W))</f>
        <v>覚醒</v>
      </c>
      <c r="F121">
        <v>1005</v>
      </c>
      <c r="G121">
        <v>1</v>
      </c>
      <c r="H121" t="str">
        <f>INDEX(Define!B:B,MATCH(G121,Define!A:A))</f>
        <v>単体</v>
      </c>
      <c r="I121">
        <v>0</v>
      </c>
      <c r="J121">
        <v>1000</v>
      </c>
      <c r="K121">
        <v>3</v>
      </c>
      <c r="L121" t="str">
        <f>INDEX(Define!E:E,MATCH(K121,Define!D:D))</f>
        <v>氷</v>
      </c>
      <c r="M121">
        <v>4</v>
      </c>
      <c r="N121" t="str">
        <f>INDEX(Define!H:H,MATCH(M121,Define!G:G))</f>
        <v>覚醒</v>
      </c>
      <c r="O121">
        <v>1</v>
      </c>
      <c r="P121" t="str">
        <f>INDEX(Define!K:K,MATCH(O121,Define!J:J))</f>
        <v>相手</v>
      </c>
      <c r="Q121">
        <v>3</v>
      </c>
      <c r="R121" t="str">
        <f>INDEX(Define!N:N,MATCH(Q121,Define!M:M))</f>
        <v>全体</v>
      </c>
      <c r="S121">
        <v>2</v>
      </c>
      <c r="T121">
        <v>1</v>
      </c>
      <c r="U121">
        <v>1</v>
      </c>
      <c r="V121" s="5">
        <v>0</v>
      </c>
    </row>
    <row r="122" ht="12" customHeight="1" spans="1:22">
      <c r="A122">
        <v>100910</v>
      </c>
      <c r="B122">
        <v>100910</v>
      </c>
      <c r="C122" t="str">
        <f>INDEX(TextData!B:B,MATCH(B122,TextData!A:A))</f>
        <v>バーニングカウンター</v>
      </c>
      <c r="D122">
        <v>10</v>
      </c>
      <c r="E122" t="str">
        <f>INDEX(Define!X:X,MATCH(D122,Define!W:W))</f>
        <v>半神</v>
      </c>
      <c r="F122">
        <v>101</v>
      </c>
      <c r="G122">
        <v>1</v>
      </c>
      <c r="H122" t="str">
        <f>INDEX(Define!B:B,MATCH(G122,Define!A:A))</f>
        <v>単体</v>
      </c>
      <c r="I122">
        <v>0</v>
      </c>
      <c r="J122">
        <v>1000</v>
      </c>
      <c r="K122">
        <v>1</v>
      </c>
      <c r="L122" t="str">
        <f>INDEX(Define!E:E,MATCH(K122,Define!D:D))</f>
        <v>炎</v>
      </c>
      <c r="M122">
        <v>3</v>
      </c>
      <c r="N122" t="str">
        <f>INDEX(Define!H:H,MATCH(M122,Define!G:G))</f>
        <v>神化</v>
      </c>
      <c r="O122">
        <v>6</v>
      </c>
      <c r="P122" t="str">
        <f>INDEX(Define!K:K,MATCH(O122,Define!J:J))</f>
        <v>反撃</v>
      </c>
      <c r="Q122">
        <v>1</v>
      </c>
      <c r="R122" t="str">
        <f>INDEX(Define!N:N,MATCH(Q122,Define!M:M))</f>
        <v>単体</v>
      </c>
      <c r="S122">
        <v>1</v>
      </c>
      <c r="T122">
        <v>1</v>
      </c>
      <c r="U122">
        <v>1</v>
      </c>
      <c r="V122" s="5">
        <v>0</v>
      </c>
    </row>
    <row r="123" ht="12" customHeight="1" spans="1:22">
      <c r="A123">
        <v>100911</v>
      </c>
      <c r="B123">
        <v>100911</v>
      </c>
      <c r="C123" t="str">
        <f>INDEX(TextData!B:B,MATCH(B123,TextData!A:A))</f>
        <v>バーニングカウンター</v>
      </c>
      <c r="D123">
        <v>10</v>
      </c>
      <c r="E123" t="str">
        <f>INDEX(Define!X:X,MATCH(D123,Define!W:W))</f>
        <v>半神</v>
      </c>
      <c r="F123">
        <v>51</v>
      </c>
      <c r="G123">
        <v>1</v>
      </c>
      <c r="H123" t="str">
        <f>INDEX(Define!B:B,MATCH(G123,Define!A:A))</f>
        <v>単体</v>
      </c>
      <c r="I123">
        <v>0</v>
      </c>
      <c r="J123">
        <v>1000</v>
      </c>
      <c r="K123">
        <v>1</v>
      </c>
      <c r="L123" t="str">
        <f>INDEX(Define!E:E,MATCH(K123,Define!D:D))</f>
        <v>炎</v>
      </c>
      <c r="M123">
        <v>2</v>
      </c>
      <c r="N123" t="str">
        <f>INDEX(Define!H:H,MATCH(M123,Define!G:G))</f>
        <v>パッシブ</v>
      </c>
      <c r="O123">
        <v>4</v>
      </c>
      <c r="P123" t="str">
        <f>INDEX(Define!K:K,MATCH(O123,Define!J:J))</f>
        <v>自身</v>
      </c>
      <c r="Q123">
        <v>4</v>
      </c>
      <c r="R123" t="str">
        <f>INDEX(Define!N:N,MATCH(Q123,Define!M:M))</f>
        <v>自身</v>
      </c>
      <c r="S123">
        <v>1</v>
      </c>
      <c r="T123">
        <v>1</v>
      </c>
      <c r="U123">
        <v>1</v>
      </c>
      <c r="V123" s="5">
        <v>0</v>
      </c>
    </row>
    <row r="124" ht="12" customHeight="1" spans="1:22">
      <c r="A124">
        <v>100920</v>
      </c>
      <c r="B124">
        <v>100920</v>
      </c>
      <c r="C124" t="str">
        <f>INDEX(TextData!B:B,MATCH(B124,TextData!A:A))</f>
        <v>プロミネンス</v>
      </c>
      <c r="D124">
        <v>11</v>
      </c>
      <c r="E124" t="str">
        <f>INDEX(Define!X:X,MATCH(D124,Define!W:W))</f>
        <v>覚醒</v>
      </c>
      <c r="F124">
        <v>1005</v>
      </c>
      <c r="G124">
        <v>1</v>
      </c>
      <c r="H124" t="str">
        <f>INDEX(Define!B:B,MATCH(G124,Define!A:A))</f>
        <v>単体</v>
      </c>
      <c r="I124">
        <v>0</v>
      </c>
      <c r="J124">
        <v>1000</v>
      </c>
      <c r="K124">
        <v>1</v>
      </c>
      <c r="L124" t="str">
        <f>INDEX(Define!E:E,MATCH(K124,Define!D:D))</f>
        <v>炎</v>
      </c>
      <c r="M124">
        <v>4</v>
      </c>
      <c r="N124" t="str">
        <f>INDEX(Define!H:H,MATCH(M124,Define!G:G))</f>
        <v>覚醒</v>
      </c>
      <c r="O124">
        <v>1</v>
      </c>
      <c r="P124" t="str">
        <f>INDEX(Define!K:K,MATCH(O124,Define!J:J))</f>
        <v>相手</v>
      </c>
      <c r="Q124">
        <v>1</v>
      </c>
      <c r="R124" t="str">
        <f>INDEX(Define!N:N,MATCH(Q124,Define!M:M))</f>
        <v>単体</v>
      </c>
      <c r="S124">
        <v>1</v>
      </c>
      <c r="T124">
        <v>1</v>
      </c>
      <c r="U124">
        <v>1</v>
      </c>
      <c r="V124" s="5">
        <v>0</v>
      </c>
    </row>
    <row r="125" ht="12" customHeight="1" spans="1:22">
      <c r="A125">
        <v>100921</v>
      </c>
      <c r="B125">
        <v>100921</v>
      </c>
      <c r="C125" t="str">
        <f>INDEX(TextData!B:B,MATCH(B125,TextData!A:A))</f>
        <v>プロミネンス</v>
      </c>
      <c r="D125">
        <v>11</v>
      </c>
      <c r="E125" t="str">
        <f>INDEX(Define!X:X,MATCH(D125,Define!W:W))</f>
        <v>覚醒</v>
      </c>
      <c r="F125">
        <v>51</v>
      </c>
      <c r="G125">
        <v>1</v>
      </c>
      <c r="H125" t="str">
        <f>INDEX(Define!B:B,MATCH(G125,Define!A:A))</f>
        <v>単体</v>
      </c>
      <c r="I125">
        <v>0</v>
      </c>
      <c r="J125">
        <v>1000</v>
      </c>
      <c r="K125">
        <v>1</v>
      </c>
      <c r="L125" t="str">
        <f>INDEX(Define!E:E,MATCH(K125,Define!D:D))</f>
        <v>炎</v>
      </c>
      <c r="M125">
        <v>2</v>
      </c>
      <c r="N125" t="str">
        <f>INDEX(Define!H:H,MATCH(M125,Define!G:G))</f>
        <v>パッシブ</v>
      </c>
      <c r="O125">
        <v>4</v>
      </c>
      <c r="P125" t="str">
        <f>INDEX(Define!K:K,MATCH(O125,Define!J:J))</f>
        <v>自身</v>
      </c>
      <c r="Q125">
        <v>4</v>
      </c>
      <c r="R125" t="str">
        <f>INDEX(Define!N:N,MATCH(Q125,Define!M:M))</f>
        <v>自身</v>
      </c>
      <c r="S125">
        <v>1</v>
      </c>
      <c r="T125">
        <v>1</v>
      </c>
      <c r="U125">
        <v>1</v>
      </c>
      <c r="V125" s="5">
        <v>0</v>
      </c>
    </row>
    <row r="126" ht="12" customHeight="1" spans="1:22">
      <c r="A126">
        <v>101010</v>
      </c>
      <c r="B126">
        <v>101010</v>
      </c>
      <c r="C126" t="str">
        <f>INDEX(TextData!B:B,MATCH(B126,TextData!A:A))</f>
        <v>エウロス</v>
      </c>
      <c r="D126">
        <v>10</v>
      </c>
      <c r="E126" t="str">
        <f>INDEX(Define!X:X,MATCH(D126,Define!W:W))</f>
        <v>半神</v>
      </c>
      <c r="F126">
        <v>51</v>
      </c>
      <c r="G126">
        <v>1</v>
      </c>
      <c r="H126" t="str">
        <f>INDEX(Define!B:B,MATCH(G126,Define!A:A))</f>
        <v>単体</v>
      </c>
      <c r="I126">
        <v>0</v>
      </c>
      <c r="J126">
        <v>1000</v>
      </c>
      <c r="K126">
        <v>2</v>
      </c>
      <c r="L126" t="str">
        <f>INDEX(Define!E:E,MATCH(K126,Define!D:D))</f>
        <v>雷</v>
      </c>
      <c r="M126">
        <v>3</v>
      </c>
      <c r="N126" t="str">
        <f>INDEX(Define!H:H,MATCH(M126,Define!G:G))</f>
        <v>神化</v>
      </c>
      <c r="O126">
        <v>6</v>
      </c>
      <c r="P126" t="str">
        <f>INDEX(Define!K:K,MATCH(O126,Define!J:J))</f>
        <v>反撃</v>
      </c>
      <c r="Q126">
        <v>1</v>
      </c>
      <c r="R126" t="str">
        <f>INDEX(Define!N:N,MATCH(Q126,Define!M:M))</f>
        <v>単体</v>
      </c>
      <c r="S126">
        <v>1</v>
      </c>
      <c r="T126">
        <v>1</v>
      </c>
      <c r="U126">
        <v>1</v>
      </c>
      <c r="V126" s="5">
        <v>0</v>
      </c>
    </row>
    <row r="127" ht="12" customHeight="1" spans="1:22">
      <c r="A127">
        <v>101020</v>
      </c>
      <c r="B127">
        <v>101020</v>
      </c>
      <c r="C127" t="str">
        <f>INDEX(TextData!B:B,MATCH(B127,TextData!A:A))</f>
        <v>ボレアス</v>
      </c>
      <c r="D127">
        <v>11</v>
      </c>
      <c r="E127" t="str">
        <f>INDEX(Define!X:X,MATCH(D127,Define!W:W))</f>
        <v>覚醒</v>
      </c>
      <c r="F127">
        <v>1005</v>
      </c>
      <c r="G127">
        <v>1</v>
      </c>
      <c r="H127" t="str">
        <f>INDEX(Define!B:B,MATCH(G127,Define!A:A))</f>
        <v>単体</v>
      </c>
      <c r="I127">
        <v>0</v>
      </c>
      <c r="J127">
        <v>1000</v>
      </c>
      <c r="K127">
        <v>2</v>
      </c>
      <c r="L127" t="str">
        <f>INDEX(Define!E:E,MATCH(K127,Define!D:D))</f>
        <v>雷</v>
      </c>
      <c r="M127">
        <v>4</v>
      </c>
      <c r="N127" t="str">
        <f>INDEX(Define!H:H,MATCH(M127,Define!G:G))</f>
        <v>覚醒</v>
      </c>
      <c r="O127">
        <v>1</v>
      </c>
      <c r="P127" t="str">
        <f>INDEX(Define!K:K,MATCH(O127,Define!J:J))</f>
        <v>相手</v>
      </c>
      <c r="Q127">
        <v>3</v>
      </c>
      <c r="R127" t="str">
        <f>INDEX(Define!N:N,MATCH(Q127,Define!M:M))</f>
        <v>全体</v>
      </c>
      <c r="S127">
        <v>2</v>
      </c>
      <c r="T127">
        <v>1</v>
      </c>
      <c r="U127">
        <v>1</v>
      </c>
      <c r="V127" s="5">
        <v>0</v>
      </c>
    </row>
    <row r="128" ht="12" customHeight="1" spans="1:22">
      <c r="A128">
        <v>101110</v>
      </c>
      <c r="B128">
        <v>101110</v>
      </c>
      <c r="C128" t="str">
        <f>INDEX(TextData!B:B,MATCH(B128,TextData!A:A))</f>
        <v>アバランシュ</v>
      </c>
      <c r="D128">
        <v>10</v>
      </c>
      <c r="E128" t="str">
        <f>INDEX(Define!X:X,MATCH(D128,Define!W:W))</f>
        <v>半神</v>
      </c>
      <c r="F128">
        <v>301</v>
      </c>
      <c r="G128">
        <v>1</v>
      </c>
      <c r="H128" t="str">
        <f>INDEX(Define!B:B,MATCH(G128,Define!A:A))</f>
        <v>単体</v>
      </c>
      <c r="I128">
        <v>0</v>
      </c>
      <c r="J128">
        <v>1000</v>
      </c>
      <c r="K128">
        <v>3</v>
      </c>
      <c r="L128" t="str">
        <f>INDEX(Define!E:E,MATCH(K128,Define!D:D))</f>
        <v>氷</v>
      </c>
      <c r="M128">
        <v>3</v>
      </c>
      <c r="N128" t="str">
        <f>INDEX(Define!H:H,MATCH(M128,Define!G:G))</f>
        <v>神化</v>
      </c>
      <c r="O128">
        <v>1</v>
      </c>
      <c r="P128" t="str">
        <f>INDEX(Define!K:K,MATCH(O128,Define!J:J))</f>
        <v>相手</v>
      </c>
      <c r="Q128">
        <v>3</v>
      </c>
      <c r="R128" t="str">
        <f>INDEX(Define!N:N,MATCH(Q128,Define!M:M))</f>
        <v>全体</v>
      </c>
      <c r="S128">
        <v>2</v>
      </c>
      <c r="T128">
        <v>1</v>
      </c>
      <c r="U128">
        <v>1</v>
      </c>
      <c r="V128" s="5">
        <v>0</v>
      </c>
    </row>
    <row r="129" ht="12" customHeight="1" spans="1:22">
      <c r="A129">
        <v>101120</v>
      </c>
      <c r="B129">
        <v>101120</v>
      </c>
      <c r="C129" t="str">
        <f>INDEX(TextData!B:B,MATCH(B129,TextData!A:A))</f>
        <v>ブリザードコフィン</v>
      </c>
      <c r="D129">
        <v>11</v>
      </c>
      <c r="E129" t="str">
        <f>INDEX(Define!X:X,MATCH(D129,Define!W:W))</f>
        <v>覚醒</v>
      </c>
      <c r="F129">
        <v>1005</v>
      </c>
      <c r="G129">
        <v>1</v>
      </c>
      <c r="H129" t="str">
        <f>INDEX(Define!B:B,MATCH(G129,Define!A:A))</f>
        <v>単体</v>
      </c>
      <c r="I129">
        <v>0</v>
      </c>
      <c r="J129">
        <v>1000</v>
      </c>
      <c r="K129">
        <v>3</v>
      </c>
      <c r="L129" t="str">
        <f>INDEX(Define!E:E,MATCH(K129,Define!D:D))</f>
        <v>氷</v>
      </c>
      <c r="M129">
        <v>4</v>
      </c>
      <c r="N129" t="str">
        <f>INDEX(Define!H:H,MATCH(M129,Define!G:G))</f>
        <v>覚醒</v>
      </c>
      <c r="O129">
        <v>1</v>
      </c>
      <c r="P129" t="str">
        <f>INDEX(Define!K:K,MATCH(O129,Define!J:J))</f>
        <v>相手</v>
      </c>
      <c r="Q129">
        <v>2</v>
      </c>
      <c r="R129" t="str">
        <f>INDEX(Define!N:N,MATCH(Q129,Define!M:M))</f>
        <v>列</v>
      </c>
      <c r="S129">
        <v>2</v>
      </c>
      <c r="T129">
        <v>1</v>
      </c>
      <c r="U129">
        <v>1</v>
      </c>
      <c r="V129" s="5">
        <v>0</v>
      </c>
    </row>
    <row r="130" spans="1:22">
      <c r="A130">
        <v>200210</v>
      </c>
      <c r="B130">
        <v>200210</v>
      </c>
      <c r="C130" t="str">
        <f>INDEX(TextData!B:B,MATCH(B130,TextData!A:A))</f>
        <v>マイトレインフォース</v>
      </c>
      <c r="D130">
        <v>10</v>
      </c>
      <c r="E130" t="str">
        <f>INDEX(Define!X:X,MATCH(D130,Define!W:W))</f>
        <v>半神</v>
      </c>
      <c r="F130">
        <v>51</v>
      </c>
      <c r="G130">
        <v>1</v>
      </c>
      <c r="H130" t="str">
        <f>INDEX(Define!B:B,MATCH(G130,Define!A:A))</f>
        <v>単体</v>
      </c>
      <c r="I130">
        <v>0</v>
      </c>
      <c r="J130">
        <v>1000</v>
      </c>
      <c r="K130">
        <v>1</v>
      </c>
      <c r="L130" t="str">
        <f>INDEX(Define!E:E,MATCH(K130,Define!D:D))</f>
        <v>炎</v>
      </c>
      <c r="M130">
        <v>3</v>
      </c>
      <c r="N130" t="str">
        <f>INDEX(Define!H:H,MATCH(M130,Define!G:G))</f>
        <v>神化</v>
      </c>
      <c r="O130">
        <v>4</v>
      </c>
      <c r="P130" t="str">
        <f>INDEX(Define!K:K,MATCH(O130,Define!J:J))</f>
        <v>自身</v>
      </c>
      <c r="Q130">
        <v>4</v>
      </c>
      <c r="R130" t="str">
        <f>INDEX(Define!N:N,MATCH(Q130,Define!M:M))</f>
        <v>自身</v>
      </c>
      <c r="S130">
        <v>1</v>
      </c>
      <c r="T130">
        <v>1</v>
      </c>
      <c r="U130">
        <v>1</v>
      </c>
      <c r="V130" s="5">
        <v>0</v>
      </c>
    </row>
    <row r="131" spans="1:22">
      <c r="A131">
        <v>200220</v>
      </c>
      <c r="B131">
        <v>200220</v>
      </c>
      <c r="C131" t="str">
        <f>INDEX(TextData!B:B,MATCH(B131,TextData!A:A))</f>
        <v>カタストロフィ</v>
      </c>
      <c r="D131">
        <v>11</v>
      </c>
      <c r="E131" t="str">
        <f>INDEX(Define!X:X,MATCH(D131,Define!W:W))</f>
        <v>覚醒</v>
      </c>
      <c r="F131">
        <v>101</v>
      </c>
      <c r="G131">
        <v>1</v>
      </c>
      <c r="H131" t="str">
        <f>INDEX(Define!B:B,MATCH(G131,Define!A:A))</f>
        <v>単体</v>
      </c>
      <c r="I131">
        <v>0</v>
      </c>
      <c r="J131">
        <v>1000</v>
      </c>
      <c r="K131">
        <v>1</v>
      </c>
      <c r="L131" t="str">
        <f>INDEX(Define!E:E,MATCH(K131,Define!D:D))</f>
        <v>炎</v>
      </c>
      <c r="M131">
        <v>4</v>
      </c>
      <c r="N131" t="str">
        <f>INDEX(Define!H:H,MATCH(M131,Define!G:G))</f>
        <v>覚醒</v>
      </c>
      <c r="O131">
        <v>1</v>
      </c>
      <c r="P131" t="str">
        <f>INDEX(Define!K:K,MATCH(O131,Define!J:J))</f>
        <v>相手</v>
      </c>
      <c r="Q131">
        <v>1</v>
      </c>
      <c r="R131" t="str">
        <f>INDEX(Define!N:N,MATCH(Q131,Define!M:M))</f>
        <v>単体</v>
      </c>
      <c r="S131">
        <v>1</v>
      </c>
      <c r="T131">
        <v>1</v>
      </c>
      <c r="U131">
        <v>1</v>
      </c>
      <c r="V131" s="5">
        <v>0</v>
      </c>
    </row>
    <row r="132" spans="1:22">
      <c r="A132">
        <v>200230</v>
      </c>
      <c r="B132">
        <v>200230</v>
      </c>
      <c r="C132" t="str">
        <f>INDEX(TextData!B:B,MATCH(B132,TextData!A:A))</f>
        <v>悪魔(ベリト)</v>
      </c>
      <c r="D132">
        <v>6</v>
      </c>
      <c r="E132" t="str">
        <f>INDEX(Define!X:X,MATCH(D132,Define!W:W))</f>
        <v>自己強化</v>
      </c>
      <c r="F132">
        <v>51</v>
      </c>
      <c r="G132">
        <v>1</v>
      </c>
      <c r="H132" t="str">
        <f>INDEX(Define!B:B,MATCH(G132,Define!A:A))</f>
        <v>単体</v>
      </c>
      <c r="I132">
        <v>0</v>
      </c>
      <c r="J132">
        <v>0</v>
      </c>
      <c r="K132">
        <v>0</v>
      </c>
      <c r="L132" t="str">
        <f>INDEX(Define!E:E,MATCH(K132,Define!D:D))</f>
        <v>なし</v>
      </c>
      <c r="M132">
        <v>2</v>
      </c>
      <c r="N132" t="str">
        <f>INDEX(Define!H:H,MATCH(M132,Define!G:G))</f>
        <v>パッシブ</v>
      </c>
      <c r="O132">
        <v>4</v>
      </c>
      <c r="P132" t="str">
        <f>INDEX(Define!K:K,MATCH(O132,Define!J:J))</f>
        <v>自身</v>
      </c>
      <c r="Q132">
        <v>4</v>
      </c>
      <c r="R132" t="str">
        <f>INDEX(Define!N:N,MATCH(Q132,Define!M:M))</f>
        <v>自身</v>
      </c>
      <c r="S132">
        <v>1</v>
      </c>
      <c r="T132">
        <v>1</v>
      </c>
      <c r="U132">
        <v>1</v>
      </c>
      <c r="V132" s="5">
        <v>0</v>
      </c>
    </row>
    <row r="133" spans="1:22">
      <c r="A133">
        <v>200310</v>
      </c>
      <c r="B133">
        <v>200310</v>
      </c>
      <c r="C133" t="str">
        <f>INDEX(TextData!B:B,MATCH(B133,TextData!A:A))</f>
        <v>プルガシオン</v>
      </c>
      <c r="D133">
        <v>10</v>
      </c>
      <c r="E133" t="str">
        <f>INDEX(Define!X:X,MATCH(D133,Define!W:W))</f>
        <v>半神</v>
      </c>
      <c r="F133">
        <v>21</v>
      </c>
      <c r="G133">
        <v>1</v>
      </c>
      <c r="H133" t="str">
        <f>INDEX(Define!B:B,MATCH(G133,Define!A:A))</f>
        <v>単体</v>
      </c>
      <c r="I133">
        <v>0</v>
      </c>
      <c r="J133">
        <v>1000</v>
      </c>
      <c r="K133">
        <v>4</v>
      </c>
      <c r="L133" t="str">
        <f>INDEX(Define!E:E,MATCH(K133,Define!D:D))</f>
        <v>光</v>
      </c>
      <c r="M133">
        <v>3</v>
      </c>
      <c r="N133" t="str">
        <f>INDEX(Define!H:H,MATCH(M133,Define!G:G))</f>
        <v>神化</v>
      </c>
      <c r="O133">
        <v>2</v>
      </c>
      <c r="P133" t="str">
        <f>INDEX(Define!K:K,MATCH(O133,Define!J:J))</f>
        <v>味方</v>
      </c>
      <c r="Q133">
        <v>3</v>
      </c>
      <c r="R133" t="str">
        <f>INDEX(Define!N:N,MATCH(Q133,Define!M:M))</f>
        <v>全体</v>
      </c>
      <c r="S133">
        <v>2</v>
      </c>
      <c r="T133">
        <v>1</v>
      </c>
      <c r="U133">
        <v>1</v>
      </c>
      <c r="V133" s="5">
        <v>0</v>
      </c>
    </row>
    <row r="134" spans="1:22">
      <c r="A134">
        <v>200320</v>
      </c>
      <c r="B134">
        <v>200320</v>
      </c>
      <c r="C134" t="str">
        <f>INDEX(TextData!B:B,MATCH(B134,TextData!A:A))</f>
        <v>プリエステス</v>
      </c>
      <c r="D134">
        <v>11</v>
      </c>
      <c r="E134" t="str">
        <f>INDEX(Define!X:X,MATCH(D134,Define!W:W))</f>
        <v>覚醒</v>
      </c>
      <c r="F134">
        <v>21</v>
      </c>
      <c r="G134">
        <v>1</v>
      </c>
      <c r="H134" t="str">
        <f>INDEX(Define!B:B,MATCH(G134,Define!A:A))</f>
        <v>単体</v>
      </c>
      <c r="I134">
        <v>0</v>
      </c>
      <c r="J134">
        <v>1000</v>
      </c>
      <c r="K134">
        <v>4</v>
      </c>
      <c r="L134" t="str">
        <f>INDEX(Define!E:E,MATCH(K134,Define!D:D))</f>
        <v>光</v>
      </c>
      <c r="M134">
        <v>4</v>
      </c>
      <c r="N134" t="str">
        <f>INDEX(Define!H:H,MATCH(M134,Define!G:G))</f>
        <v>覚醒</v>
      </c>
      <c r="O134">
        <v>4</v>
      </c>
      <c r="P134" t="str">
        <f>INDEX(Define!K:K,MATCH(O134,Define!J:J))</f>
        <v>自身</v>
      </c>
      <c r="Q134">
        <v>4</v>
      </c>
      <c r="R134" t="str">
        <f>INDEX(Define!N:N,MATCH(Q134,Define!M:M))</f>
        <v>自身</v>
      </c>
      <c r="S134">
        <v>1</v>
      </c>
      <c r="T134">
        <v>1</v>
      </c>
      <c r="U134">
        <v>1</v>
      </c>
      <c r="V134" s="5">
        <v>0</v>
      </c>
    </row>
    <row r="135" spans="1:22">
      <c r="A135">
        <v>200330</v>
      </c>
      <c r="B135">
        <v>200330</v>
      </c>
      <c r="C135" t="str">
        <f>INDEX(TextData!B:B,MATCH(B135,TextData!A:A))</f>
        <v>悪魔(パイモン)</v>
      </c>
      <c r="D135">
        <v>6</v>
      </c>
      <c r="E135" t="str">
        <f>INDEX(Define!X:X,MATCH(D135,Define!W:W))</f>
        <v>自己強化</v>
      </c>
      <c r="F135">
        <v>51</v>
      </c>
      <c r="G135">
        <v>1</v>
      </c>
      <c r="H135" t="str">
        <f>INDEX(Define!B:B,MATCH(G135,Define!A:A))</f>
        <v>単体</v>
      </c>
      <c r="I135">
        <v>0</v>
      </c>
      <c r="J135">
        <v>0</v>
      </c>
      <c r="K135">
        <v>0</v>
      </c>
      <c r="L135" t="str">
        <f>INDEX(Define!E:E,MATCH(K135,Define!D:D))</f>
        <v>なし</v>
      </c>
      <c r="M135">
        <v>2</v>
      </c>
      <c r="N135" t="str">
        <f>INDEX(Define!H:H,MATCH(M135,Define!G:G))</f>
        <v>パッシブ</v>
      </c>
      <c r="O135">
        <v>4</v>
      </c>
      <c r="P135" t="str">
        <f>INDEX(Define!K:K,MATCH(O135,Define!J:J))</f>
        <v>自身</v>
      </c>
      <c r="Q135">
        <v>4</v>
      </c>
      <c r="R135" t="str">
        <f>INDEX(Define!N:N,MATCH(Q135,Define!M:M))</f>
        <v>自身</v>
      </c>
      <c r="S135">
        <v>1</v>
      </c>
      <c r="T135">
        <v>1</v>
      </c>
      <c r="U135">
        <v>1</v>
      </c>
      <c r="V135" s="5">
        <v>0</v>
      </c>
    </row>
    <row r="136" spans="1:22">
      <c r="A136">
        <v>200410</v>
      </c>
      <c r="B136">
        <v>200410</v>
      </c>
      <c r="C136" t="str">
        <f>INDEX(TextData!B:B,MATCH(B136,TextData!A:A))</f>
        <v>コウソクテンショウ</v>
      </c>
      <c r="D136">
        <v>10</v>
      </c>
      <c r="E136" t="str">
        <f>INDEX(Define!X:X,MATCH(D136,Define!W:W))</f>
        <v>半神</v>
      </c>
      <c r="F136">
        <v>201</v>
      </c>
      <c r="G136">
        <v>1</v>
      </c>
      <c r="H136" t="str">
        <f>INDEX(Define!B:B,MATCH(G136,Define!A:A))</f>
        <v>単体</v>
      </c>
      <c r="I136">
        <v>0</v>
      </c>
      <c r="J136">
        <v>1000</v>
      </c>
      <c r="K136">
        <v>2</v>
      </c>
      <c r="L136" t="str">
        <f>INDEX(Define!E:E,MATCH(K136,Define!D:D))</f>
        <v>雷</v>
      </c>
      <c r="M136">
        <v>3</v>
      </c>
      <c r="N136" t="str">
        <f>INDEX(Define!H:H,MATCH(M136,Define!G:G))</f>
        <v>神化</v>
      </c>
      <c r="O136">
        <v>1</v>
      </c>
      <c r="P136" t="str">
        <f>INDEX(Define!K:K,MATCH(O136,Define!J:J))</f>
        <v>相手</v>
      </c>
      <c r="Q136">
        <v>2</v>
      </c>
      <c r="R136" t="str">
        <f>INDEX(Define!N:N,MATCH(Q136,Define!M:M))</f>
        <v>列</v>
      </c>
      <c r="S136">
        <v>2</v>
      </c>
      <c r="T136">
        <v>1</v>
      </c>
      <c r="U136">
        <v>1</v>
      </c>
      <c r="V136" s="5">
        <v>0</v>
      </c>
    </row>
    <row r="137" spans="1:22">
      <c r="A137">
        <v>200411</v>
      </c>
      <c r="B137">
        <v>200411</v>
      </c>
      <c r="C137" t="str">
        <f>INDEX(TextData!B:B,MATCH(B137,TextData!A:A))</f>
        <v>コウソクテンショウ</v>
      </c>
      <c r="D137">
        <v>10</v>
      </c>
      <c r="E137" t="str">
        <f>INDEX(Define!X:X,MATCH(D137,Define!W:W))</f>
        <v>半神</v>
      </c>
      <c r="F137">
        <v>51</v>
      </c>
      <c r="G137">
        <v>1</v>
      </c>
      <c r="H137" t="str">
        <f>INDEX(Define!B:B,MATCH(G137,Define!A:A))</f>
        <v>単体</v>
      </c>
      <c r="I137">
        <v>0</v>
      </c>
      <c r="J137">
        <v>1000</v>
      </c>
      <c r="K137">
        <v>2</v>
      </c>
      <c r="L137" t="str">
        <f>INDEX(Define!E:E,MATCH(K137,Define!D:D))</f>
        <v>雷</v>
      </c>
      <c r="M137">
        <v>2</v>
      </c>
      <c r="N137" t="str">
        <f>INDEX(Define!H:H,MATCH(M137,Define!G:G))</f>
        <v>パッシブ</v>
      </c>
      <c r="O137">
        <v>4</v>
      </c>
      <c r="P137" t="str">
        <f>INDEX(Define!K:K,MATCH(O137,Define!J:J))</f>
        <v>自身</v>
      </c>
      <c r="Q137">
        <v>4</v>
      </c>
      <c r="R137" t="str">
        <f>INDEX(Define!N:N,MATCH(Q137,Define!M:M))</f>
        <v>自身</v>
      </c>
      <c r="S137">
        <v>1</v>
      </c>
      <c r="T137">
        <v>1</v>
      </c>
      <c r="U137">
        <v>1</v>
      </c>
      <c r="V137" s="5">
        <v>0</v>
      </c>
    </row>
    <row r="138" spans="1:22">
      <c r="A138">
        <v>200420</v>
      </c>
      <c r="B138">
        <v>200420</v>
      </c>
      <c r="C138" t="str">
        <f>INDEX(TextData!B:B,MATCH(B138,TextData!A:A))</f>
        <v>アンチバフ</v>
      </c>
      <c r="D138">
        <v>11</v>
      </c>
      <c r="E138" t="str">
        <f>INDEX(Define!X:X,MATCH(D138,Define!W:W))</f>
        <v>覚醒</v>
      </c>
      <c r="F138">
        <v>61</v>
      </c>
      <c r="G138">
        <v>1</v>
      </c>
      <c r="H138" t="str">
        <f>INDEX(Define!B:B,MATCH(G138,Define!A:A))</f>
        <v>単体</v>
      </c>
      <c r="I138">
        <v>0</v>
      </c>
      <c r="J138">
        <v>1000</v>
      </c>
      <c r="K138">
        <v>2</v>
      </c>
      <c r="L138" t="str">
        <f>INDEX(Define!E:E,MATCH(K138,Define!D:D))</f>
        <v>雷</v>
      </c>
      <c r="M138">
        <v>4</v>
      </c>
      <c r="N138" t="str">
        <f>INDEX(Define!H:H,MATCH(M138,Define!G:G))</f>
        <v>覚醒</v>
      </c>
      <c r="O138">
        <v>1</v>
      </c>
      <c r="P138" t="str">
        <f>INDEX(Define!K:K,MATCH(O138,Define!J:J))</f>
        <v>相手</v>
      </c>
      <c r="Q138">
        <v>3</v>
      </c>
      <c r="R138" t="str">
        <f>INDEX(Define!N:N,MATCH(Q138,Define!M:M))</f>
        <v>全体</v>
      </c>
      <c r="S138">
        <v>2</v>
      </c>
      <c r="T138">
        <v>1</v>
      </c>
      <c r="U138">
        <v>1</v>
      </c>
      <c r="V138" s="5">
        <v>0</v>
      </c>
    </row>
    <row r="139" spans="1:22">
      <c r="A139">
        <v>200430</v>
      </c>
      <c r="B139">
        <v>200430</v>
      </c>
      <c r="C139" t="str">
        <f>INDEX(TextData!B:B,MATCH(B139,TextData!A:A))</f>
        <v>悪魔(アンドラス)</v>
      </c>
      <c r="D139">
        <v>6</v>
      </c>
      <c r="E139" t="str">
        <f>INDEX(Define!X:X,MATCH(D139,Define!W:W))</f>
        <v>自己強化</v>
      </c>
      <c r="F139">
        <v>51</v>
      </c>
      <c r="G139">
        <v>1</v>
      </c>
      <c r="H139" t="str">
        <f>INDEX(Define!B:B,MATCH(G139,Define!A:A))</f>
        <v>単体</v>
      </c>
      <c r="I139">
        <v>0</v>
      </c>
      <c r="J139">
        <v>0</v>
      </c>
      <c r="K139">
        <v>0</v>
      </c>
      <c r="L139" t="str">
        <f>INDEX(Define!E:E,MATCH(K139,Define!D:D))</f>
        <v>なし</v>
      </c>
      <c r="M139">
        <v>6</v>
      </c>
      <c r="N139" t="str">
        <f>INDEX(Define!H:H,MATCH(M139,Define!G:G))</f>
        <v>強化</v>
      </c>
      <c r="O139">
        <v>4</v>
      </c>
      <c r="P139" t="str">
        <f>INDEX(Define!K:K,MATCH(O139,Define!J:J))</f>
        <v>自身</v>
      </c>
      <c r="Q139">
        <v>4</v>
      </c>
      <c r="R139" t="str">
        <f>INDEX(Define!N:N,MATCH(Q139,Define!M:M))</f>
        <v>自身</v>
      </c>
      <c r="S139">
        <v>1</v>
      </c>
      <c r="T139">
        <v>1</v>
      </c>
      <c r="U139">
        <v>1</v>
      </c>
      <c r="V139" s="5">
        <v>0</v>
      </c>
    </row>
    <row r="140" spans="1:22">
      <c r="A140">
        <v>200510</v>
      </c>
      <c r="B140">
        <v>200510</v>
      </c>
      <c r="C140" t="str">
        <f>INDEX(TextData!B:B,MATCH(B140,TextData!A:A))</f>
        <v>カウントダウン</v>
      </c>
      <c r="D140">
        <v>10</v>
      </c>
      <c r="E140" t="str">
        <f>INDEX(Define!X:X,MATCH(D140,Define!W:W))</f>
        <v>半神</v>
      </c>
      <c r="F140">
        <v>51</v>
      </c>
      <c r="G140">
        <v>1</v>
      </c>
      <c r="H140" t="str">
        <f>INDEX(Define!B:B,MATCH(G140,Define!A:A))</f>
        <v>単体</v>
      </c>
      <c r="I140">
        <v>0</v>
      </c>
      <c r="J140">
        <v>1000</v>
      </c>
      <c r="K140">
        <v>3</v>
      </c>
      <c r="L140" t="str">
        <f>INDEX(Define!E:E,MATCH(K140,Define!D:D))</f>
        <v>氷</v>
      </c>
      <c r="M140">
        <v>3</v>
      </c>
      <c r="N140" t="str">
        <f>INDEX(Define!H:H,MATCH(M140,Define!G:G))</f>
        <v>神化</v>
      </c>
      <c r="O140">
        <v>4</v>
      </c>
      <c r="P140" t="str">
        <f>INDEX(Define!K:K,MATCH(O140,Define!J:J))</f>
        <v>自身</v>
      </c>
      <c r="Q140">
        <v>4</v>
      </c>
      <c r="R140" t="str">
        <f>INDEX(Define!N:N,MATCH(Q140,Define!M:M))</f>
        <v>自身</v>
      </c>
      <c r="S140">
        <v>1</v>
      </c>
      <c r="T140">
        <v>1</v>
      </c>
      <c r="U140">
        <v>1</v>
      </c>
      <c r="V140" s="5">
        <v>0</v>
      </c>
    </row>
    <row r="141" spans="1:22">
      <c r="A141">
        <v>200520</v>
      </c>
      <c r="B141">
        <v>200520</v>
      </c>
      <c r="C141" t="str">
        <f>INDEX(TextData!B:B,MATCH(B141,TextData!A:A))</f>
        <v>グラウンドゼロ</v>
      </c>
      <c r="D141">
        <v>11</v>
      </c>
      <c r="E141" t="str">
        <f>INDEX(Define!X:X,MATCH(D141,Define!W:W))</f>
        <v>覚醒</v>
      </c>
      <c r="F141">
        <v>301</v>
      </c>
      <c r="G141">
        <v>1</v>
      </c>
      <c r="H141" t="str">
        <f>INDEX(Define!B:B,MATCH(G141,Define!A:A))</f>
        <v>単体</v>
      </c>
      <c r="I141">
        <v>0</v>
      </c>
      <c r="J141">
        <v>1000</v>
      </c>
      <c r="K141">
        <v>3</v>
      </c>
      <c r="L141" t="str">
        <f>INDEX(Define!E:E,MATCH(K141,Define!D:D))</f>
        <v>氷</v>
      </c>
      <c r="M141">
        <v>4</v>
      </c>
      <c r="N141" t="str">
        <f>INDEX(Define!H:H,MATCH(M141,Define!G:G))</f>
        <v>覚醒</v>
      </c>
      <c r="O141">
        <v>1</v>
      </c>
      <c r="P141" t="str">
        <f>INDEX(Define!K:K,MATCH(O141,Define!J:J))</f>
        <v>相手</v>
      </c>
      <c r="Q141">
        <v>3</v>
      </c>
      <c r="R141" t="str">
        <f>INDEX(Define!N:N,MATCH(Q141,Define!M:M))</f>
        <v>全体</v>
      </c>
      <c r="S141">
        <v>2</v>
      </c>
      <c r="T141">
        <v>1</v>
      </c>
      <c r="U141">
        <v>1</v>
      </c>
      <c r="V141" s="5">
        <v>0</v>
      </c>
    </row>
    <row r="142" spans="1:22">
      <c r="A142">
        <v>200530</v>
      </c>
      <c r="B142">
        <v>200530</v>
      </c>
      <c r="C142" t="str">
        <f>INDEX(TextData!B:B,MATCH(B142,TextData!A:A))</f>
        <v>悪魔(ビフロンス)</v>
      </c>
      <c r="D142">
        <v>6</v>
      </c>
      <c r="E142" t="str">
        <f>INDEX(Define!X:X,MATCH(D142,Define!W:W))</f>
        <v>自己強化</v>
      </c>
      <c r="F142">
        <v>51</v>
      </c>
      <c r="G142">
        <v>1</v>
      </c>
      <c r="H142" t="str">
        <f>INDEX(Define!B:B,MATCH(G142,Define!A:A))</f>
        <v>単体</v>
      </c>
      <c r="I142">
        <v>99</v>
      </c>
      <c r="J142">
        <v>0</v>
      </c>
      <c r="K142">
        <v>0</v>
      </c>
      <c r="L142" t="str">
        <f>INDEX(Define!E:E,MATCH(K142,Define!D:D))</f>
        <v>なし</v>
      </c>
      <c r="M142">
        <v>2</v>
      </c>
      <c r="N142" t="str">
        <f>INDEX(Define!H:H,MATCH(M142,Define!G:G))</f>
        <v>パッシブ</v>
      </c>
      <c r="O142">
        <v>4</v>
      </c>
      <c r="P142" t="str">
        <f>INDEX(Define!K:K,MATCH(O142,Define!J:J))</f>
        <v>自身</v>
      </c>
      <c r="Q142">
        <v>4</v>
      </c>
      <c r="R142" t="str">
        <f>INDEX(Define!N:N,MATCH(Q142,Define!M:M))</f>
        <v>自身</v>
      </c>
      <c r="S142">
        <v>1</v>
      </c>
      <c r="T142">
        <v>1</v>
      </c>
      <c r="U142">
        <v>1</v>
      </c>
      <c r="V142" s="5">
        <v>0</v>
      </c>
    </row>
    <row r="143" spans="1:22">
      <c r="A143">
        <v>201010</v>
      </c>
      <c r="B143">
        <v>201010</v>
      </c>
      <c r="C143" t="str">
        <f>INDEX(TextData!B:B,MATCH(B143,TextData!A:A))</f>
        <v>カオスペイン</v>
      </c>
      <c r="D143">
        <v>10</v>
      </c>
      <c r="E143" t="str">
        <f>INDEX(Define!X:X,MATCH(D143,Define!W:W))</f>
        <v>半神</v>
      </c>
      <c r="F143">
        <v>501</v>
      </c>
      <c r="G143">
        <v>1</v>
      </c>
      <c r="H143" t="str">
        <f>INDEX(Define!B:B,MATCH(G143,Define!A:A))</f>
        <v>単体</v>
      </c>
      <c r="I143">
        <v>0</v>
      </c>
      <c r="J143">
        <v>1000</v>
      </c>
      <c r="K143">
        <v>5</v>
      </c>
      <c r="L143" t="str">
        <f>INDEX(Define!E:E,MATCH(K143,Define!D:D))</f>
        <v>闇</v>
      </c>
      <c r="M143">
        <v>3</v>
      </c>
      <c r="N143" t="str">
        <f>INDEX(Define!H:H,MATCH(M143,Define!G:G))</f>
        <v>神化</v>
      </c>
      <c r="O143">
        <v>1</v>
      </c>
      <c r="P143" t="str">
        <f>INDEX(Define!K:K,MATCH(O143,Define!J:J))</f>
        <v>相手</v>
      </c>
      <c r="Q143">
        <v>3</v>
      </c>
      <c r="R143" t="str">
        <f>INDEX(Define!N:N,MATCH(Q143,Define!M:M))</f>
        <v>全体</v>
      </c>
      <c r="S143">
        <v>2</v>
      </c>
      <c r="T143">
        <v>1</v>
      </c>
      <c r="U143">
        <v>1</v>
      </c>
      <c r="V143" s="5">
        <v>0</v>
      </c>
    </row>
    <row r="144" spans="1:22">
      <c r="A144">
        <v>201020</v>
      </c>
      <c r="B144">
        <v>201020</v>
      </c>
      <c r="C144" t="str">
        <f>INDEX(TextData!B:B,MATCH(B144,TextData!A:A))</f>
        <v>フォールンワン</v>
      </c>
      <c r="D144">
        <v>11</v>
      </c>
      <c r="E144" t="str">
        <f>INDEX(Define!X:X,MATCH(D144,Define!W:W))</f>
        <v>覚醒</v>
      </c>
      <c r="F144">
        <v>501</v>
      </c>
      <c r="G144">
        <v>1</v>
      </c>
      <c r="H144" t="str">
        <f>INDEX(Define!B:B,MATCH(G144,Define!A:A))</f>
        <v>単体</v>
      </c>
      <c r="I144">
        <v>0</v>
      </c>
      <c r="J144">
        <v>1000</v>
      </c>
      <c r="K144">
        <v>5</v>
      </c>
      <c r="L144" t="str">
        <f>INDEX(Define!E:E,MATCH(K144,Define!D:D))</f>
        <v>闇</v>
      </c>
      <c r="M144">
        <v>4</v>
      </c>
      <c r="N144" t="str">
        <f>INDEX(Define!H:H,MATCH(M144,Define!G:G))</f>
        <v>覚醒</v>
      </c>
      <c r="O144">
        <v>1</v>
      </c>
      <c r="P144" t="str">
        <f>INDEX(Define!K:K,MATCH(O144,Define!J:J))</f>
        <v>相手</v>
      </c>
      <c r="Q144">
        <v>3</v>
      </c>
      <c r="R144" t="str">
        <f>INDEX(Define!N:N,MATCH(Q144,Define!M:M))</f>
        <v>全体</v>
      </c>
      <c r="S144">
        <v>2</v>
      </c>
      <c r="T144">
        <v>1</v>
      </c>
      <c r="U144">
        <v>1</v>
      </c>
      <c r="V144" s="5">
        <v>0</v>
      </c>
    </row>
    <row r="145" spans="1:22">
      <c r="A145">
        <v>201030</v>
      </c>
      <c r="B145">
        <v>201030</v>
      </c>
      <c r="C145" t="str">
        <f>INDEX(TextData!B:B,MATCH(B145,TextData!A:A))</f>
        <v>アンリマユ</v>
      </c>
      <c r="D145">
        <v>6</v>
      </c>
      <c r="E145" t="str">
        <f>INDEX(Define!X:X,MATCH(D145,Define!W:W))</f>
        <v>自己強化</v>
      </c>
      <c r="F145">
        <v>51</v>
      </c>
      <c r="G145">
        <v>1</v>
      </c>
      <c r="H145" t="str">
        <f>INDEX(Define!B:B,MATCH(G145,Define!A:A))</f>
        <v>単体</v>
      </c>
      <c r="I145">
        <v>0</v>
      </c>
      <c r="J145">
        <v>0</v>
      </c>
      <c r="K145">
        <v>0</v>
      </c>
      <c r="L145" t="str">
        <f>INDEX(Define!E:E,MATCH(K145,Define!D:D))</f>
        <v>なし</v>
      </c>
      <c r="M145">
        <v>2</v>
      </c>
      <c r="N145" t="str">
        <f>INDEX(Define!H:H,MATCH(M145,Define!G:G))</f>
        <v>パッシブ</v>
      </c>
      <c r="O145">
        <v>4</v>
      </c>
      <c r="P145" t="str">
        <f>INDEX(Define!K:K,MATCH(O145,Define!J:J))</f>
        <v>自身</v>
      </c>
      <c r="Q145">
        <v>4</v>
      </c>
      <c r="R145" t="str">
        <f>INDEX(Define!N:N,MATCH(Q145,Define!M:M))</f>
        <v>自身</v>
      </c>
      <c r="S145">
        <v>1</v>
      </c>
      <c r="T145">
        <v>1</v>
      </c>
      <c r="U145">
        <v>1</v>
      </c>
      <c r="V145" s="5">
        <v>0</v>
      </c>
    </row>
    <row r="146" spans="1:22">
      <c r="A146">
        <v>300010</v>
      </c>
      <c r="B146">
        <v>300010</v>
      </c>
      <c r="C146" t="str">
        <f>INDEX(TextData!B:B,MATCH(B146,TextData!A:A))</f>
        <v>ライフブースト</v>
      </c>
      <c r="D146">
        <v>6</v>
      </c>
      <c r="E146" t="str">
        <f>INDEX(Define!X:X,MATCH(D146,Define!W:W))</f>
        <v>自己強化</v>
      </c>
      <c r="F146">
        <v>51</v>
      </c>
      <c r="G146">
        <v>1</v>
      </c>
      <c r="H146" t="str">
        <f>INDEX(Define!B:B,MATCH(G146,Define!A:A))</f>
        <v>単体</v>
      </c>
      <c r="I146">
        <v>0</v>
      </c>
      <c r="J146">
        <v>200</v>
      </c>
      <c r="K146">
        <v>4</v>
      </c>
      <c r="L146" t="str">
        <f>INDEX(Define!E:E,MATCH(K146,Define!D:D))</f>
        <v>光</v>
      </c>
      <c r="M146">
        <v>5</v>
      </c>
      <c r="N146" t="str">
        <f>INDEX(Define!H:H,MATCH(M146,Define!G:G))</f>
        <v>レリック</v>
      </c>
      <c r="O146">
        <v>2</v>
      </c>
      <c r="P146" t="str">
        <f>INDEX(Define!K:K,MATCH(O146,Define!J:J))</f>
        <v>味方</v>
      </c>
      <c r="Q146">
        <v>3</v>
      </c>
      <c r="R146" t="str">
        <f>INDEX(Define!N:N,MATCH(Q146,Define!M:M))</f>
        <v>全体</v>
      </c>
      <c r="S146">
        <v>2</v>
      </c>
      <c r="T146">
        <v>1</v>
      </c>
      <c r="U146">
        <v>1</v>
      </c>
      <c r="V146" s="5">
        <v>0</v>
      </c>
    </row>
    <row r="147" spans="1:22">
      <c r="A147">
        <v>300020</v>
      </c>
      <c r="B147">
        <v>300020</v>
      </c>
      <c r="C147" t="str">
        <f>INDEX(TextData!B:B,MATCH(B147,TextData!A:A))</f>
        <v>スピリットチャージ</v>
      </c>
      <c r="D147">
        <v>6</v>
      </c>
      <c r="E147" t="str">
        <f>INDEX(Define!X:X,MATCH(D147,Define!W:W))</f>
        <v>自己強化</v>
      </c>
      <c r="F147">
        <v>51</v>
      </c>
      <c r="G147">
        <v>1</v>
      </c>
      <c r="H147" t="str">
        <f>INDEX(Define!B:B,MATCH(G147,Define!A:A))</f>
        <v>単体</v>
      </c>
      <c r="I147">
        <v>0</v>
      </c>
      <c r="J147">
        <v>200</v>
      </c>
      <c r="K147">
        <v>5</v>
      </c>
      <c r="L147" t="str">
        <f>INDEX(Define!E:E,MATCH(K147,Define!D:D))</f>
        <v>闇</v>
      </c>
      <c r="M147">
        <v>5</v>
      </c>
      <c r="N147" t="str">
        <f>INDEX(Define!H:H,MATCH(M147,Define!G:G))</f>
        <v>レリック</v>
      </c>
      <c r="O147">
        <v>2</v>
      </c>
      <c r="P147" t="str">
        <f>INDEX(Define!K:K,MATCH(O147,Define!J:J))</f>
        <v>味方</v>
      </c>
      <c r="Q147">
        <v>3</v>
      </c>
      <c r="R147" t="str">
        <f>INDEX(Define!N:N,MATCH(Q147,Define!M:M))</f>
        <v>全体</v>
      </c>
      <c r="S147">
        <v>2</v>
      </c>
      <c r="T147">
        <v>1</v>
      </c>
      <c r="U147">
        <v>1</v>
      </c>
      <c r="V147" s="5">
        <v>0</v>
      </c>
    </row>
    <row r="148" spans="1:22">
      <c r="A148">
        <v>300030</v>
      </c>
      <c r="B148">
        <v>300030</v>
      </c>
      <c r="C148" t="str">
        <f>INDEX(TextData!B:B,MATCH(B148,TextData!A:A))</f>
        <v>フォースライズ</v>
      </c>
      <c r="D148">
        <v>6</v>
      </c>
      <c r="E148" t="str">
        <f>INDEX(Define!X:X,MATCH(D148,Define!W:W))</f>
        <v>自己強化</v>
      </c>
      <c r="F148">
        <v>51</v>
      </c>
      <c r="G148">
        <v>1</v>
      </c>
      <c r="H148" t="str">
        <f>INDEX(Define!B:B,MATCH(G148,Define!A:A))</f>
        <v>単体</v>
      </c>
      <c r="I148">
        <v>0</v>
      </c>
      <c r="J148">
        <v>200</v>
      </c>
      <c r="K148">
        <v>1</v>
      </c>
      <c r="L148" t="str">
        <f>INDEX(Define!E:E,MATCH(K148,Define!D:D))</f>
        <v>炎</v>
      </c>
      <c r="M148">
        <v>5</v>
      </c>
      <c r="N148" t="str">
        <f>INDEX(Define!H:H,MATCH(M148,Define!G:G))</f>
        <v>レリック</v>
      </c>
      <c r="O148">
        <v>2</v>
      </c>
      <c r="P148" t="str">
        <f>INDEX(Define!K:K,MATCH(O148,Define!J:J))</f>
        <v>味方</v>
      </c>
      <c r="Q148">
        <v>3</v>
      </c>
      <c r="R148" t="str">
        <f>INDEX(Define!N:N,MATCH(Q148,Define!M:M))</f>
        <v>全体</v>
      </c>
      <c r="S148">
        <v>2</v>
      </c>
      <c r="T148">
        <v>1</v>
      </c>
      <c r="U148">
        <v>1</v>
      </c>
      <c r="V148" s="5">
        <v>0</v>
      </c>
    </row>
    <row r="149" spans="1:22">
      <c r="A149">
        <v>300040</v>
      </c>
      <c r="B149">
        <v>300040</v>
      </c>
      <c r="C149" t="str">
        <f>INDEX(TextData!B:B,MATCH(B149,TextData!A:A))</f>
        <v>ディフェンスオーラ</v>
      </c>
      <c r="D149">
        <v>6</v>
      </c>
      <c r="E149" t="str">
        <f>INDEX(Define!X:X,MATCH(D149,Define!W:W))</f>
        <v>自己強化</v>
      </c>
      <c r="F149">
        <v>51</v>
      </c>
      <c r="G149">
        <v>1</v>
      </c>
      <c r="H149" t="str">
        <f>INDEX(Define!B:B,MATCH(G149,Define!A:A))</f>
        <v>単体</v>
      </c>
      <c r="I149">
        <v>0</v>
      </c>
      <c r="J149">
        <v>200</v>
      </c>
      <c r="K149">
        <v>3</v>
      </c>
      <c r="L149" t="str">
        <f>INDEX(Define!E:E,MATCH(K149,Define!D:D))</f>
        <v>氷</v>
      </c>
      <c r="M149">
        <v>5</v>
      </c>
      <c r="N149" t="str">
        <f>INDEX(Define!H:H,MATCH(M149,Define!G:G))</f>
        <v>レリック</v>
      </c>
      <c r="O149">
        <v>2</v>
      </c>
      <c r="P149" t="str">
        <f>INDEX(Define!K:K,MATCH(O149,Define!J:J))</f>
        <v>味方</v>
      </c>
      <c r="Q149">
        <v>3</v>
      </c>
      <c r="R149" t="str">
        <f>INDEX(Define!N:N,MATCH(Q149,Define!M:M))</f>
        <v>全体</v>
      </c>
      <c r="S149">
        <v>2</v>
      </c>
      <c r="T149">
        <v>1</v>
      </c>
      <c r="U149">
        <v>1</v>
      </c>
      <c r="V149" s="5">
        <v>0</v>
      </c>
    </row>
    <row r="150" spans="1:22">
      <c r="A150">
        <v>300050</v>
      </c>
      <c r="B150">
        <v>300050</v>
      </c>
      <c r="C150" t="str">
        <f>INDEX(TextData!B:B,MATCH(B150,TextData!A:A))</f>
        <v>ラピッドムーブ</v>
      </c>
      <c r="D150">
        <v>6</v>
      </c>
      <c r="E150" t="str">
        <f>INDEX(Define!X:X,MATCH(D150,Define!W:W))</f>
        <v>自己強化</v>
      </c>
      <c r="F150">
        <v>51</v>
      </c>
      <c r="G150">
        <v>1</v>
      </c>
      <c r="H150" t="str">
        <f>INDEX(Define!B:B,MATCH(G150,Define!A:A))</f>
        <v>単体</v>
      </c>
      <c r="I150">
        <v>0</v>
      </c>
      <c r="J150">
        <v>200</v>
      </c>
      <c r="K150">
        <v>2</v>
      </c>
      <c r="L150" t="str">
        <f>INDEX(Define!E:E,MATCH(K150,Define!D:D))</f>
        <v>雷</v>
      </c>
      <c r="M150">
        <v>5</v>
      </c>
      <c r="N150" t="str">
        <f>INDEX(Define!H:H,MATCH(M150,Define!G:G))</f>
        <v>レリック</v>
      </c>
      <c r="O150">
        <v>2</v>
      </c>
      <c r="P150" t="str">
        <f>INDEX(Define!K:K,MATCH(O150,Define!J:J))</f>
        <v>味方</v>
      </c>
      <c r="Q150">
        <v>3</v>
      </c>
      <c r="R150" t="str">
        <f>INDEX(Define!N:N,MATCH(Q150,Define!M:M))</f>
        <v>全体</v>
      </c>
      <c r="S150">
        <v>2</v>
      </c>
      <c r="T150">
        <v>1</v>
      </c>
      <c r="U150">
        <v>1</v>
      </c>
      <c r="V150" s="5">
        <v>0</v>
      </c>
    </row>
    <row r="151" spans="1:22">
      <c r="A151">
        <v>300130</v>
      </c>
      <c r="B151">
        <v>300130</v>
      </c>
      <c r="C151" t="str">
        <f>INDEX(TextData!B:B,MATCH(B151,TextData!A:A))</f>
        <v>アタックブレイク</v>
      </c>
      <c r="D151">
        <v>6</v>
      </c>
      <c r="E151" t="str">
        <f>INDEX(Define!X:X,MATCH(D151,Define!W:W))</f>
        <v>自己強化</v>
      </c>
      <c r="F151">
        <v>61</v>
      </c>
      <c r="G151">
        <v>1</v>
      </c>
      <c r="H151" t="str">
        <f>INDEX(Define!B:B,MATCH(G151,Define!A:A))</f>
        <v>単体</v>
      </c>
      <c r="I151">
        <v>0</v>
      </c>
      <c r="J151">
        <v>200</v>
      </c>
      <c r="K151">
        <v>5</v>
      </c>
      <c r="L151" t="str">
        <f>INDEX(Define!E:E,MATCH(K151,Define!D:D))</f>
        <v>闇</v>
      </c>
      <c r="M151">
        <v>5</v>
      </c>
      <c r="N151" t="str">
        <f>INDEX(Define!H:H,MATCH(M151,Define!G:G))</f>
        <v>レリック</v>
      </c>
      <c r="O151">
        <v>1</v>
      </c>
      <c r="P151" t="str">
        <f>INDEX(Define!K:K,MATCH(O151,Define!J:J))</f>
        <v>相手</v>
      </c>
      <c r="Q151">
        <v>3</v>
      </c>
      <c r="R151" t="str">
        <f>INDEX(Define!N:N,MATCH(Q151,Define!M:M))</f>
        <v>全体</v>
      </c>
      <c r="S151">
        <v>2</v>
      </c>
      <c r="T151">
        <v>1</v>
      </c>
      <c r="U151">
        <v>1</v>
      </c>
      <c r="V151" s="5">
        <v>0</v>
      </c>
    </row>
    <row r="152" spans="1:22">
      <c r="A152">
        <v>300140</v>
      </c>
      <c r="B152">
        <v>300140</v>
      </c>
      <c r="C152" t="str">
        <f>INDEX(TextData!B:B,MATCH(B152,TextData!A:A))</f>
        <v>シールドバニッシュ</v>
      </c>
      <c r="D152">
        <v>6</v>
      </c>
      <c r="E152" t="str">
        <f>INDEX(Define!X:X,MATCH(D152,Define!W:W))</f>
        <v>自己強化</v>
      </c>
      <c r="F152">
        <v>61</v>
      </c>
      <c r="G152">
        <v>1</v>
      </c>
      <c r="H152" t="str">
        <f>INDEX(Define!B:B,MATCH(G152,Define!A:A))</f>
        <v>単体</v>
      </c>
      <c r="I152">
        <v>0</v>
      </c>
      <c r="J152">
        <v>200</v>
      </c>
      <c r="K152">
        <v>5</v>
      </c>
      <c r="L152" t="str">
        <f>INDEX(Define!E:E,MATCH(K152,Define!D:D))</f>
        <v>闇</v>
      </c>
      <c r="M152">
        <v>5</v>
      </c>
      <c r="N152" t="str">
        <f>INDEX(Define!H:H,MATCH(M152,Define!G:G))</f>
        <v>レリック</v>
      </c>
      <c r="O152">
        <v>1</v>
      </c>
      <c r="P152" t="str">
        <f>INDEX(Define!K:K,MATCH(O152,Define!J:J))</f>
        <v>相手</v>
      </c>
      <c r="Q152">
        <v>3</v>
      </c>
      <c r="R152" t="str">
        <f>INDEX(Define!N:N,MATCH(Q152,Define!M:M))</f>
        <v>全体</v>
      </c>
      <c r="S152">
        <v>2</v>
      </c>
      <c r="T152">
        <v>1</v>
      </c>
      <c r="U152">
        <v>1</v>
      </c>
      <c r="V152" s="5">
        <v>0</v>
      </c>
    </row>
    <row r="153" spans="1:22">
      <c r="A153">
        <v>300210</v>
      </c>
      <c r="B153">
        <v>300210</v>
      </c>
      <c r="C153" t="str">
        <f>INDEX(TextData!B:B,MATCH(B153,TextData!A:A))</f>
        <v>エーテルリチャージ</v>
      </c>
      <c r="D153">
        <v>6</v>
      </c>
      <c r="E153" t="str">
        <f>INDEX(Define!X:X,MATCH(D153,Define!W:W))</f>
        <v>自己強化</v>
      </c>
      <c r="F153">
        <v>51</v>
      </c>
      <c r="G153">
        <v>1</v>
      </c>
      <c r="H153" t="str">
        <f>INDEX(Define!B:B,MATCH(G153,Define!A:A))</f>
        <v>単体</v>
      </c>
      <c r="I153">
        <v>0</v>
      </c>
      <c r="J153">
        <v>200</v>
      </c>
      <c r="K153">
        <v>1</v>
      </c>
      <c r="L153" t="str">
        <f>INDEX(Define!E:E,MATCH(K153,Define!D:D))</f>
        <v>炎</v>
      </c>
      <c r="M153">
        <v>5</v>
      </c>
      <c r="N153" t="str">
        <f>INDEX(Define!H:H,MATCH(M153,Define!G:G))</f>
        <v>レリック</v>
      </c>
      <c r="O153">
        <v>2</v>
      </c>
      <c r="P153" t="str">
        <f>INDEX(Define!K:K,MATCH(O153,Define!J:J))</f>
        <v>味方</v>
      </c>
      <c r="Q153">
        <v>3</v>
      </c>
      <c r="R153" t="str">
        <f>INDEX(Define!N:N,MATCH(Q153,Define!M:M))</f>
        <v>全体</v>
      </c>
      <c r="S153">
        <v>2</v>
      </c>
      <c r="T153">
        <v>1</v>
      </c>
      <c r="U153">
        <v>1</v>
      </c>
      <c r="V153" s="5">
        <v>0</v>
      </c>
    </row>
    <row r="154" spans="1:22">
      <c r="A154">
        <v>300220</v>
      </c>
      <c r="B154">
        <v>300220</v>
      </c>
      <c r="C154" t="str">
        <f>INDEX(TextData!B:B,MATCH(B154,TextData!A:A))</f>
        <v>リカバリーエンハンス</v>
      </c>
      <c r="D154">
        <v>6</v>
      </c>
      <c r="E154" t="str">
        <f>INDEX(Define!X:X,MATCH(D154,Define!W:W))</f>
        <v>自己強化</v>
      </c>
      <c r="F154">
        <v>51</v>
      </c>
      <c r="G154">
        <v>1</v>
      </c>
      <c r="H154" t="str">
        <f>INDEX(Define!B:B,MATCH(G154,Define!A:A))</f>
        <v>単体</v>
      </c>
      <c r="I154">
        <v>0</v>
      </c>
      <c r="J154">
        <v>200</v>
      </c>
      <c r="K154">
        <v>4</v>
      </c>
      <c r="L154" t="str">
        <f>INDEX(Define!E:E,MATCH(K154,Define!D:D))</f>
        <v>光</v>
      </c>
      <c r="M154">
        <v>5</v>
      </c>
      <c r="N154" t="str">
        <f>INDEX(Define!H:H,MATCH(M154,Define!G:G))</f>
        <v>レリック</v>
      </c>
      <c r="O154">
        <v>2</v>
      </c>
      <c r="P154" t="str">
        <f>INDEX(Define!K:K,MATCH(O154,Define!J:J))</f>
        <v>味方</v>
      </c>
      <c r="Q154">
        <v>3</v>
      </c>
      <c r="R154" t="str">
        <f>INDEX(Define!N:N,MATCH(Q154,Define!M:M))</f>
        <v>全体</v>
      </c>
      <c r="S154">
        <v>2</v>
      </c>
      <c r="T154">
        <v>1</v>
      </c>
      <c r="U154">
        <v>1</v>
      </c>
      <c r="V154" s="5">
        <v>0</v>
      </c>
    </row>
    <row r="155" spans="1:22">
      <c r="A155">
        <v>300230</v>
      </c>
      <c r="B155">
        <v>300230</v>
      </c>
      <c r="C155" t="str">
        <f>INDEX(TextData!B:B,MATCH(B155,TextData!A:A))</f>
        <v>ヴェンジェンス</v>
      </c>
      <c r="D155">
        <v>6</v>
      </c>
      <c r="E155" t="str">
        <f>INDEX(Define!X:X,MATCH(D155,Define!W:W))</f>
        <v>自己強化</v>
      </c>
      <c r="F155">
        <v>51</v>
      </c>
      <c r="G155">
        <v>1</v>
      </c>
      <c r="H155" t="str">
        <f>INDEX(Define!B:B,MATCH(G155,Define!A:A))</f>
        <v>単体</v>
      </c>
      <c r="I155">
        <v>0</v>
      </c>
      <c r="J155">
        <v>200</v>
      </c>
      <c r="K155">
        <v>3</v>
      </c>
      <c r="L155" t="str">
        <f>INDEX(Define!E:E,MATCH(K155,Define!D:D))</f>
        <v>氷</v>
      </c>
      <c r="M155">
        <v>5</v>
      </c>
      <c r="N155" t="str">
        <f>INDEX(Define!H:H,MATCH(M155,Define!G:G))</f>
        <v>レリック</v>
      </c>
      <c r="O155">
        <v>2</v>
      </c>
      <c r="P155" t="str">
        <f>INDEX(Define!K:K,MATCH(O155,Define!J:J))</f>
        <v>味方</v>
      </c>
      <c r="Q155">
        <v>3</v>
      </c>
      <c r="R155" t="str">
        <f>INDEX(Define!N:N,MATCH(Q155,Define!M:M))</f>
        <v>全体</v>
      </c>
      <c r="S155">
        <v>2</v>
      </c>
      <c r="T155">
        <v>1</v>
      </c>
      <c r="U155">
        <v>1</v>
      </c>
      <c r="V155" s="5">
        <v>0</v>
      </c>
    </row>
    <row r="156" spans="1:22">
      <c r="A156">
        <v>301010</v>
      </c>
      <c r="B156">
        <v>301010</v>
      </c>
      <c r="C156" t="str">
        <f>INDEX(TextData!B:B,MATCH(B156,TextData!A:A))</f>
        <v>ディケイドリセット</v>
      </c>
      <c r="D156">
        <v>6</v>
      </c>
      <c r="E156" t="str">
        <f>INDEX(Define!X:X,MATCH(D156,Define!W:W))</f>
        <v>自己強化</v>
      </c>
      <c r="F156">
        <v>51</v>
      </c>
      <c r="G156">
        <v>1</v>
      </c>
      <c r="H156" t="str">
        <f>INDEX(Define!B:B,MATCH(G156,Define!A:A))</f>
        <v>単体</v>
      </c>
      <c r="I156">
        <v>0</v>
      </c>
      <c r="J156">
        <v>210</v>
      </c>
      <c r="K156">
        <v>2</v>
      </c>
      <c r="L156" t="str">
        <f>INDEX(Define!E:E,MATCH(K156,Define!D:D))</f>
        <v>雷</v>
      </c>
      <c r="M156">
        <v>5</v>
      </c>
      <c r="N156" t="str">
        <f>INDEX(Define!H:H,MATCH(M156,Define!G:G))</f>
        <v>レリック</v>
      </c>
      <c r="O156">
        <v>2</v>
      </c>
      <c r="P156" t="str">
        <f>INDEX(Define!K:K,MATCH(O156,Define!J:J))</f>
        <v>味方</v>
      </c>
      <c r="Q156">
        <v>3</v>
      </c>
      <c r="R156" t="str">
        <f>INDEX(Define!N:N,MATCH(Q156,Define!M:M))</f>
        <v>全体</v>
      </c>
      <c r="S156">
        <v>2</v>
      </c>
      <c r="T156">
        <v>1</v>
      </c>
      <c r="U156">
        <v>1</v>
      </c>
      <c r="V156" s="5">
        <v>0</v>
      </c>
    </row>
    <row r="157" spans="1:22">
      <c r="A157">
        <v>301020</v>
      </c>
      <c r="B157">
        <v>301020</v>
      </c>
      <c r="C157" t="str">
        <f>INDEX(TextData!B:B,MATCH(B157,TextData!A:A))</f>
        <v>ウォーリアーブラッド</v>
      </c>
      <c r="D157">
        <v>6</v>
      </c>
      <c r="E157" t="str">
        <f>INDEX(Define!X:X,MATCH(D157,Define!W:W))</f>
        <v>自己強化</v>
      </c>
      <c r="F157">
        <v>51</v>
      </c>
      <c r="G157">
        <v>1</v>
      </c>
      <c r="H157" t="str">
        <f>INDEX(Define!B:B,MATCH(G157,Define!A:A))</f>
        <v>単体</v>
      </c>
      <c r="I157">
        <v>0</v>
      </c>
      <c r="J157">
        <v>210</v>
      </c>
      <c r="K157">
        <v>5</v>
      </c>
      <c r="L157" t="str">
        <f>INDEX(Define!E:E,MATCH(K157,Define!D:D))</f>
        <v>闇</v>
      </c>
      <c r="M157">
        <v>5</v>
      </c>
      <c r="N157" t="str">
        <f>INDEX(Define!H:H,MATCH(M157,Define!G:G))</f>
        <v>レリック</v>
      </c>
      <c r="O157">
        <v>2</v>
      </c>
      <c r="P157" t="str">
        <f>INDEX(Define!K:K,MATCH(O157,Define!J:J))</f>
        <v>味方</v>
      </c>
      <c r="Q157">
        <v>3</v>
      </c>
      <c r="R157" t="str">
        <f>INDEX(Define!N:N,MATCH(Q157,Define!M:M))</f>
        <v>全体</v>
      </c>
      <c r="S157">
        <v>2</v>
      </c>
      <c r="T157">
        <v>1</v>
      </c>
      <c r="U157">
        <v>1</v>
      </c>
      <c r="V157" s="5">
        <v>0</v>
      </c>
    </row>
    <row r="158" spans="1:22">
      <c r="A158">
        <v>301030</v>
      </c>
      <c r="B158">
        <v>301030</v>
      </c>
      <c r="C158" t="str">
        <f>INDEX(TextData!B:B,MATCH(B158,TextData!A:A))</f>
        <v>トライアングルガード</v>
      </c>
      <c r="D158">
        <v>6</v>
      </c>
      <c r="E158" t="str">
        <f>INDEX(Define!X:X,MATCH(D158,Define!W:W))</f>
        <v>自己強化</v>
      </c>
      <c r="F158">
        <v>51</v>
      </c>
      <c r="G158">
        <v>1</v>
      </c>
      <c r="H158" t="str">
        <f>INDEX(Define!B:B,MATCH(G158,Define!A:A))</f>
        <v>単体</v>
      </c>
      <c r="I158">
        <v>0</v>
      </c>
      <c r="J158">
        <v>210</v>
      </c>
      <c r="K158">
        <v>3</v>
      </c>
      <c r="L158" t="str">
        <f>INDEX(Define!E:E,MATCH(K158,Define!D:D))</f>
        <v>氷</v>
      </c>
      <c r="M158">
        <v>5</v>
      </c>
      <c r="N158" t="str">
        <f>INDEX(Define!H:H,MATCH(M158,Define!G:G))</f>
        <v>レリック</v>
      </c>
      <c r="O158">
        <v>2</v>
      </c>
      <c r="P158" t="str">
        <f>INDEX(Define!K:K,MATCH(O158,Define!J:J))</f>
        <v>味方</v>
      </c>
      <c r="Q158">
        <v>3</v>
      </c>
      <c r="R158" t="str">
        <f>INDEX(Define!N:N,MATCH(Q158,Define!M:M))</f>
        <v>全体</v>
      </c>
      <c r="S158">
        <v>2</v>
      </c>
      <c r="T158">
        <v>1</v>
      </c>
      <c r="U158">
        <v>1</v>
      </c>
      <c r="V158" s="5">
        <v>0</v>
      </c>
    </row>
    <row r="159" spans="1:22">
      <c r="A159">
        <v>301040</v>
      </c>
      <c r="B159">
        <v>301040</v>
      </c>
      <c r="C159" t="str">
        <f>INDEX(TextData!B:B,MATCH(B159,TextData!A:A))</f>
        <v>セーフティバリア</v>
      </c>
      <c r="D159">
        <v>6</v>
      </c>
      <c r="E159" t="str">
        <f>INDEX(Define!X:X,MATCH(D159,Define!W:W))</f>
        <v>自己強化</v>
      </c>
      <c r="F159">
        <v>51</v>
      </c>
      <c r="G159">
        <v>1</v>
      </c>
      <c r="H159" t="str">
        <f>INDEX(Define!B:B,MATCH(G159,Define!A:A))</f>
        <v>単体</v>
      </c>
      <c r="I159">
        <v>0</v>
      </c>
      <c r="J159">
        <v>210</v>
      </c>
      <c r="K159">
        <v>3</v>
      </c>
      <c r="L159" t="str">
        <f>INDEX(Define!E:E,MATCH(K159,Define!D:D))</f>
        <v>氷</v>
      </c>
      <c r="M159">
        <v>5</v>
      </c>
      <c r="N159" t="str">
        <f>INDEX(Define!H:H,MATCH(M159,Define!G:G))</f>
        <v>レリック</v>
      </c>
      <c r="O159">
        <v>2</v>
      </c>
      <c r="P159" t="str">
        <f>INDEX(Define!K:K,MATCH(O159,Define!J:J))</f>
        <v>味方</v>
      </c>
      <c r="Q159">
        <v>3</v>
      </c>
      <c r="R159" t="str">
        <f>INDEX(Define!N:N,MATCH(Q159,Define!M:M))</f>
        <v>全体</v>
      </c>
      <c r="S159">
        <v>2</v>
      </c>
      <c r="T159">
        <v>1</v>
      </c>
      <c r="U159">
        <v>1</v>
      </c>
      <c r="V159" s="5">
        <v>0</v>
      </c>
    </row>
    <row r="160" spans="1:22">
      <c r="A160">
        <v>301050</v>
      </c>
      <c r="B160">
        <v>301050</v>
      </c>
      <c r="C160" t="str">
        <f>INDEX(TextData!B:B,MATCH(B160,TextData!A:A))</f>
        <v>ヒロインズハイ</v>
      </c>
      <c r="D160">
        <v>6</v>
      </c>
      <c r="E160" t="str">
        <f>INDEX(Define!X:X,MATCH(D160,Define!W:W))</f>
        <v>自己強化</v>
      </c>
      <c r="F160">
        <v>51</v>
      </c>
      <c r="G160">
        <v>1</v>
      </c>
      <c r="H160" t="str">
        <f>INDEX(Define!B:B,MATCH(G160,Define!A:A))</f>
        <v>単体</v>
      </c>
      <c r="I160">
        <v>0</v>
      </c>
      <c r="J160">
        <v>210</v>
      </c>
      <c r="K160">
        <v>4</v>
      </c>
      <c r="L160" t="str">
        <f>INDEX(Define!E:E,MATCH(K160,Define!D:D))</f>
        <v>光</v>
      </c>
      <c r="M160">
        <v>5</v>
      </c>
      <c r="N160" t="str">
        <f>INDEX(Define!H:H,MATCH(M160,Define!G:G))</f>
        <v>レリック</v>
      </c>
      <c r="O160">
        <v>2</v>
      </c>
      <c r="P160" t="str">
        <f>INDEX(Define!K:K,MATCH(O160,Define!J:J))</f>
        <v>味方</v>
      </c>
      <c r="Q160">
        <v>3</v>
      </c>
      <c r="R160" t="str">
        <f>INDEX(Define!N:N,MATCH(Q160,Define!M:M))</f>
        <v>全体</v>
      </c>
      <c r="S160">
        <v>2</v>
      </c>
      <c r="T160">
        <v>1</v>
      </c>
      <c r="U160">
        <v>1</v>
      </c>
      <c r="V160" s="5">
        <v>0</v>
      </c>
    </row>
    <row r="161" spans="1:22">
      <c r="A161">
        <v>301060</v>
      </c>
      <c r="B161">
        <v>301060</v>
      </c>
      <c r="C161" t="str">
        <f>INDEX(TextData!B:B,MATCH(B161,TextData!A:A))</f>
        <v>セカンドステージ</v>
      </c>
      <c r="D161">
        <v>6</v>
      </c>
      <c r="E161" t="str">
        <f>INDEX(Define!X:X,MATCH(D161,Define!W:W))</f>
        <v>自己強化</v>
      </c>
      <c r="F161">
        <v>51</v>
      </c>
      <c r="G161">
        <v>1</v>
      </c>
      <c r="H161" t="str">
        <f>INDEX(Define!B:B,MATCH(G161,Define!A:A))</f>
        <v>単体</v>
      </c>
      <c r="I161">
        <v>0</v>
      </c>
      <c r="J161">
        <v>210</v>
      </c>
      <c r="K161">
        <v>4</v>
      </c>
      <c r="L161" t="str">
        <f>INDEX(Define!E:E,MATCH(K161,Define!D:D))</f>
        <v>光</v>
      </c>
      <c r="M161">
        <v>5</v>
      </c>
      <c r="N161" t="str">
        <f>INDEX(Define!H:H,MATCH(M161,Define!G:G))</f>
        <v>レリック</v>
      </c>
      <c r="O161">
        <v>2</v>
      </c>
      <c r="P161" t="str">
        <f>INDEX(Define!K:K,MATCH(O161,Define!J:J))</f>
        <v>味方</v>
      </c>
      <c r="Q161">
        <v>3</v>
      </c>
      <c r="R161" t="str">
        <f>INDEX(Define!N:N,MATCH(Q161,Define!M:M))</f>
        <v>全体</v>
      </c>
      <c r="S161">
        <v>2</v>
      </c>
      <c r="T161">
        <v>1</v>
      </c>
      <c r="U161">
        <v>0</v>
      </c>
      <c r="V161" s="5">
        <v>0</v>
      </c>
    </row>
    <row r="162" spans="1:22">
      <c r="A162">
        <v>301070</v>
      </c>
      <c r="B162">
        <v>301070</v>
      </c>
      <c r="C162" t="str">
        <f>INDEX(TextData!B:B,MATCH(B162,TextData!A:A))</f>
        <v>ハイヒットポイント</v>
      </c>
      <c r="D162">
        <v>6</v>
      </c>
      <c r="E162" t="str">
        <f>INDEX(Define!X:X,MATCH(D162,Define!W:W))</f>
        <v>自己強化</v>
      </c>
      <c r="F162">
        <v>51</v>
      </c>
      <c r="G162">
        <v>1</v>
      </c>
      <c r="H162" t="str">
        <f>INDEX(Define!B:B,MATCH(G162,Define!A:A))</f>
        <v>単体</v>
      </c>
      <c r="I162">
        <v>0</v>
      </c>
      <c r="J162">
        <v>210</v>
      </c>
      <c r="K162">
        <v>4</v>
      </c>
      <c r="L162" t="str">
        <f>INDEX(Define!E:E,MATCH(K162,Define!D:D))</f>
        <v>光</v>
      </c>
      <c r="M162">
        <v>5</v>
      </c>
      <c r="N162" t="str">
        <f>INDEX(Define!H:H,MATCH(M162,Define!G:G))</f>
        <v>レリック</v>
      </c>
      <c r="O162">
        <v>2</v>
      </c>
      <c r="P162" t="str">
        <f>INDEX(Define!K:K,MATCH(O162,Define!J:J))</f>
        <v>味方</v>
      </c>
      <c r="Q162">
        <v>3</v>
      </c>
      <c r="R162" t="str">
        <f>INDEX(Define!N:N,MATCH(Q162,Define!M:M))</f>
        <v>全体</v>
      </c>
      <c r="S162">
        <v>2</v>
      </c>
      <c r="T162">
        <v>1</v>
      </c>
      <c r="U162">
        <v>1</v>
      </c>
      <c r="V162" s="5">
        <v>0</v>
      </c>
    </row>
    <row r="163" spans="1:22">
      <c r="A163">
        <v>301080</v>
      </c>
      <c r="B163">
        <v>301080</v>
      </c>
      <c r="C163" t="str">
        <f>INDEX(TextData!B:B,MATCH(B163,TextData!A:A))</f>
        <v>セプタブラスト</v>
      </c>
      <c r="D163">
        <v>6</v>
      </c>
      <c r="E163" t="str">
        <f>INDEX(Define!X:X,MATCH(D163,Define!W:W))</f>
        <v>自己強化</v>
      </c>
      <c r="F163">
        <v>101</v>
      </c>
      <c r="G163">
        <v>1</v>
      </c>
      <c r="H163" t="str">
        <f>INDEX(Define!B:B,MATCH(G163,Define!A:A))</f>
        <v>単体</v>
      </c>
      <c r="I163">
        <v>0</v>
      </c>
      <c r="J163">
        <v>210</v>
      </c>
      <c r="K163">
        <v>1</v>
      </c>
      <c r="L163" t="str">
        <f>INDEX(Define!E:E,MATCH(K163,Define!D:D))</f>
        <v>炎</v>
      </c>
      <c r="M163">
        <v>5</v>
      </c>
      <c r="N163" t="str">
        <f>INDEX(Define!H:H,MATCH(M163,Define!G:G))</f>
        <v>レリック</v>
      </c>
      <c r="O163">
        <v>7</v>
      </c>
      <c r="P163" t="str">
        <f>INDEX(Define!K:K,MATCH(O163,Define!J:J))</f>
        <v>追撃</v>
      </c>
      <c r="Q163">
        <v>1</v>
      </c>
      <c r="R163" t="str">
        <f>INDEX(Define!N:N,MATCH(Q163,Define!M:M))</f>
        <v>単体</v>
      </c>
      <c r="S163">
        <v>2</v>
      </c>
      <c r="T163">
        <v>1</v>
      </c>
      <c r="U163">
        <v>1</v>
      </c>
      <c r="V163" s="5">
        <v>0</v>
      </c>
    </row>
    <row r="164" spans="1:22">
      <c r="A164">
        <v>301090</v>
      </c>
      <c r="B164">
        <v>301090</v>
      </c>
      <c r="C164" t="str">
        <f>INDEX(TextData!B:B,MATCH(B164,TextData!A:A))</f>
        <v>イニシャルブロッカー</v>
      </c>
      <c r="D164">
        <v>6</v>
      </c>
      <c r="E164" t="str">
        <f>INDEX(Define!X:X,MATCH(D164,Define!W:W))</f>
        <v>自己強化</v>
      </c>
      <c r="F164">
        <v>51</v>
      </c>
      <c r="G164">
        <v>1</v>
      </c>
      <c r="H164" t="str">
        <f>INDEX(Define!B:B,MATCH(G164,Define!A:A))</f>
        <v>単体</v>
      </c>
      <c r="I164">
        <v>0</v>
      </c>
      <c r="J164">
        <v>210</v>
      </c>
      <c r="K164">
        <v>3</v>
      </c>
      <c r="L164" t="str">
        <f>INDEX(Define!E:E,MATCH(K164,Define!D:D))</f>
        <v>氷</v>
      </c>
      <c r="M164">
        <v>5</v>
      </c>
      <c r="N164" t="str">
        <f>INDEX(Define!H:H,MATCH(M164,Define!G:G))</f>
        <v>レリック</v>
      </c>
      <c r="O164">
        <v>2</v>
      </c>
      <c r="P164" t="str">
        <f>INDEX(Define!K:K,MATCH(O164,Define!J:J))</f>
        <v>味方</v>
      </c>
      <c r="Q164">
        <v>3</v>
      </c>
      <c r="R164" t="str">
        <f>INDEX(Define!N:N,MATCH(Q164,Define!M:M))</f>
        <v>全体</v>
      </c>
      <c r="S164">
        <v>2</v>
      </c>
      <c r="T164">
        <v>1</v>
      </c>
      <c r="U164">
        <v>1</v>
      </c>
      <c r="V164" s="5">
        <v>0</v>
      </c>
    </row>
    <row r="165" spans="1:22">
      <c r="A165">
        <v>301100</v>
      </c>
      <c r="B165">
        <v>301100</v>
      </c>
      <c r="C165" t="str">
        <f>INDEX(TextData!B:B,MATCH(B165,TextData!A:A))</f>
        <v>ファーストテイク</v>
      </c>
      <c r="D165">
        <v>6</v>
      </c>
      <c r="E165" t="str">
        <f>INDEX(Define!X:X,MATCH(D165,Define!W:W))</f>
        <v>自己強化</v>
      </c>
      <c r="F165">
        <v>51</v>
      </c>
      <c r="G165">
        <v>1</v>
      </c>
      <c r="H165" t="str">
        <f>INDEX(Define!B:B,MATCH(G165,Define!A:A))</f>
        <v>単体</v>
      </c>
      <c r="I165">
        <v>0</v>
      </c>
      <c r="J165">
        <v>210</v>
      </c>
      <c r="K165">
        <v>2</v>
      </c>
      <c r="L165" t="str">
        <f>INDEX(Define!E:E,MATCH(K165,Define!D:D))</f>
        <v>雷</v>
      </c>
      <c r="M165">
        <v>5</v>
      </c>
      <c r="N165" t="str">
        <f>INDEX(Define!H:H,MATCH(M165,Define!G:G))</f>
        <v>レリック</v>
      </c>
      <c r="O165">
        <v>2</v>
      </c>
      <c r="P165" t="str">
        <f>INDEX(Define!K:K,MATCH(O165,Define!J:J))</f>
        <v>味方</v>
      </c>
      <c r="Q165">
        <v>3</v>
      </c>
      <c r="R165" t="str">
        <f>INDEX(Define!N:N,MATCH(Q165,Define!M:M))</f>
        <v>全体</v>
      </c>
      <c r="S165">
        <v>2</v>
      </c>
      <c r="T165">
        <v>1</v>
      </c>
      <c r="U165">
        <v>1</v>
      </c>
      <c r="V165" s="5">
        <v>0</v>
      </c>
    </row>
    <row r="166" spans="1:22">
      <c r="A166">
        <v>401010</v>
      </c>
      <c r="B166">
        <v>401010</v>
      </c>
      <c r="C166" t="str">
        <f>INDEX(TextData!B:B,MATCH(B166,TextData!A:A))</f>
        <v>ファイアボール+</v>
      </c>
      <c r="D166">
        <v>1</v>
      </c>
      <c r="E166" t="str">
        <f>INDEX(Define!X:X,MATCH(D166,Define!W:W))</f>
        <v>元素</v>
      </c>
      <c r="F166">
        <v>101</v>
      </c>
      <c r="G166">
        <v>1</v>
      </c>
      <c r="H166" t="str">
        <f>INDEX(Define!B:B,MATCH(G166,Define!A:A))</f>
        <v>単体</v>
      </c>
      <c r="I166">
        <v>0</v>
      </c>
      <c r="J166">
        <v>120</v>
      </c>
      <c r="K166">
        <v>1</v>
      </c>
      <c r="L166" t="str">
        <f>INDEX(Define!E:E,MATCH(K166,Define!D:D))</f>
        <v>炎</v>
      </c>
      <c r="M166">
        <v>6</v>
      </c>
      <c r="N166" t="str">
        <f>INDEX(Define!H:H,MATCH(M166,Define!G:G))</f>
        <v>強化</v>
      </c>
      <c r="O166">
        <v>4</v>
      </c>
      <c r="P166" t="str">
        <f>INDEX(Define!K:K,MATCH(O166,Define!J:J))</f>
        <v>自身</v>
      </c>
      <c r="Q166">
        <v>4</v>
      </c>
      <c r="R166" t="str">
        <f>INDEX(Define!N:N,MATCH(Q166,Define!M:M))</f>
        <v>自身</v>
      </c>
      <c r="S166">
        <v>1</v>
      </c>
      <c r="T166">
        <v>1</v>
      </c>
      <c r="U166">
        <v>1</v>
      </c>
      <c r="V166" s="5">
        <v>0</v>
      </c>
    </row>
    <row r="167" spans="1:22">
      <c r="A167">
        <v>401020</v>
      </c>
      <c r="B167">
        <v>401020</v>
      </c>
      <c r="C167" t="str">
        <f>INDEX(TextData!B:B,MATCH(B167,TextData!A:A))</f>
        <v>バーンストーム+</v>
      </c>
      <c r="D167">
        <v>1</v>
      </c>
      <c r="E167" t="str">
        <f>INDEX(Define!X:X,MATCH(D167,Define!W:W))</f>
        <v>元素</v>
      </c>
      <c r="F167">
        <v>101</v>
      </c>
      <c r="G167">
        <v>2</v>
      </c>
      <c r="H167" t="str">
        <f>INDEX(Define!B:B,MATCH(G167,Define!A:A))</f>
        <v>列</v>
      </c>
      <c r="I167">
        <v>0</v>
      </c>
      <c r="J167">
        <v>120</v>
      </c>
      <c r="K167">
        <v>1</v>
      </c>
      <c r="L167" t="str">
        <f>INDEX(Define!E:E,MATCH(K167,Define!D:D))</f>
        <v>炎</v>
      </c>
      <c r="M167">
        <v>6</v>
      </c>
      <c r="N167" t="str">
        <f>INDEX(Define!H:H,MATCH(M167,Define!G:G))</f>
        <v>強化</v>
      </c>
      <c r="O167">
        <v>4</v>
      </c>
      <c r="P167" t="str">
        <f>INDEX(Define!K:K,MATCH(O167,Define!J:J))</f>
        <v>自身</v>
      </c>
      <c r="Q167">
        <v>4</v>
      </c>
      <c r="R167" t="str">
        <f>INDEX(Define!N:N,MATCH(Q167,Define!M:M))</f>
        <v>自身</v>
      </c>
      <c r="S167">
        <v>1</v>
      </c>
      <c r="T167">
        <v>1</v>
      </c>
      <c r="U167">
        <v>1</v>
      </c>
      <c r="V167" s="5">
        <v>0</v>
      </c>
    </row>
    <row r="168" spans="1:22">
      <c r="A168">
        <v>401030</v>
      </c>
      <c r="B168">
        <v>401030</v>
      </c>
      <c r="C168" t="str">
        <f>INDEX(TextData!B:B,MATCH(B168,TextData!A:A))</f>
        <v>ヒートスタンプ+</v>
      </c>
      <c r="D168">
        <v>2</v>
      </c>
      <c r="E168" t="str">
        <f>INDEX(Define!X:X,MATCH(D168,Define!W:W))</f>
        <v>光</v>
      </c>
      <c r="F168">
        <v>21</v>
      </c>
      <c r="G168">
        <v>1</v>
      </c>
      <c r="H168" t="str">
        <f>INDEX(Define!B:B,MATCH(G168,Define!A:A))</f>
        <v>単体</v>
      </c>
      <c r="I168">
        <v>0</v>
      </c>
      <c r="J168">
        <v>120</v>
      </c>
      <c r="K168">
        <v>1</v>
      </c>
      <c r="L168" t="str">
        <f>INDEX(Define!E:E,MATCH(K168,Define!D:D))</f>
        <v>炎</v>
      </c>
      <c r="M168">
        <v>6</v>
      </c>
      <c r="N168" t="str">
        <f>INDEX(Define!H:H,MATCH(M168,Define!G:G))</f>
        <v>強化</v>
      </c>
      <c r="O168">
        <v>4</v>
      </c>
      <c r="P168" t="str">
        <f>INDEX(Define!K:K,MATCH(O168,Define!J:J))</f>
        <v>自身</v>
      </c>
      <c r="Q168">
        <v>4</v>
      </c>
      <c r="R168" t="str">
        <f>INDEX(Define!N:N,MATCH(Q168,Define!M:M))</f>
        <v>自身</v>
      </c>
      <c r="S168">
        <v>1</v>
      </c>
      <c r="T168">
        <v>1</v>
      </c>
      <c r="U168">
        <v>1</v>
      </c>
      <c r="V168" s="5">
        <v>0</v>
      </c>
    </row>
    <row r="169" spans="1:22">
      <c r="A169">
        <v>401040</v>
      </c>
      <c r="B169">
        <v>401040</v>
      </c>
      <c r="C169" t="str">
        <f>INDEX(TextData!B:B,MATCH(B169,TextData!A:A))</f>
        <v>ソードアダプト+</v>
      </c>
      <c r="D169">
        <v>4</v>
      </c>
      <c r="E169" t="str">
        <f>INDEX(Define!X:X,MATCH(D169,Define!W:W))</f>
        <v>精神</v>
      </c>
      <c r="F169">
        <v>51</v>
      </c>
      <c r="G169">
        <v>1</v>
      </c>
      <c r="H169" t="str">
        <f>INDEX(Define!B:B,MATCH(G169,Define!A:A))</f>
        <v>単体</v>
      </c>
      <c r="I169">
        <v>0</v>
      </c>
      <c r="J169">
        <v>120</v>
      </c>
      <c r="K169">
        <v>1</v>
      </c>
      <c r="L169" t="str">
        <f>INDEX(Define!E:E,MATCH(K169,Define!D:D))</f>
        <v>炎</v>
      </c>
      <c r="M169">
        <v>6</v>
      </c>
      <c r="N169" t="str">
        <f>INDEX(Define!H:H,MATCH(M169,Define!G:G))</f>
        <v>強化</v>
      </c>
      <c r="O169">
        <v>4</v>
      </c>
      <c r="P169" t="str">
        <f>INDEX(Define!K:K,MATCH(O169,Define!J:J))</f>
        <v>自身</v>
      </c>
      <c r="Q169">
        <v>4</v>
      </c>
      <c r="R169" t="str">
        <f>INDEX(Define!N:N,MATCH(Q169,Define!M:M))</f>
        <v>自身</v>
      </c>
      <c r="S169">
        <v>1</v>
      </c>
      <c r="T169">
        <v>1</v>
      </c>
      <c r="U169">
        <v>1</v>
      </c>
      <c r="V169" s="5">
        <v>0</v>
      </c>
    </row>
    <row r="170" ht="12" customHeight="1" spans="1:22">
      <c r="A170">
        <v>401050</v>
      </c>
      <c r="B170">
        <v>401050</v>
      </c>
      <c r="C170" t="str">
        <f>INDEX(TextData!B:B,MATCH(B170,TextData!A:A))</f>
        <v>フレイムレイン+</v>
      </c>
      <c r="D170">
        <v>1</v>
      </c>
      <c r="E170" t="str">
        <f>INDEX(Define!X:X,MATCH(D170,Define!W:W))</f>
        <v>元素</v>
      </c>
      <c r="F170">
        <v>101</v>
      </c>
      <c r="G170">
        <v>1</v>
      </c>
      <c r="H170" t="str">
        <f>INDEX(Define!B:B,MATCH(G170,Define!A:A))</f>
        <v>単体</v>
      </c>
      <c r="I170">
        <v>0</v>
      </c>
      <c r="J170">
        <v>120</v>
      </c>
      <c r="K170">
        <v>1</v>
      </c>
      <c r="L170" t="str">
        <f>INDEX(Define!E:E,MATCH(K170,Define!D:D))</f>
        <v>炎</v>
      </c>
      <c r="M170">
        <v>6</v>
      </c>
      <c r="N170" t="str">
        <f>INDEX(Define!H:H,MATCH(M170,Define!G:G))</f>
        <v>強化</v>
      </c>
      <c r="O170">
        <v>4</v>
      </c>
      <c r="P170" t="str">
        <f>INDEX(Define!K:K,MATCH(O170,Define!J:J))</f>
        <v>自身</v>
      </c>
      <c r="Q170">
        <v>4</v>
      </c>
      <c r="R170" t="str">
        <f>INDEX(Define!N:N,MATCH(Q170,Define!M:M))</f>
        <v>自身</v>
      </c>
      <c r="S170">
        <v>1</v>
      </c>
      <c r="T170">
        <v>1</v>
      </c>
      <c r="U170">
        <v>1</v>
      </c>
      <c r="V170" s="5">
        <v>0</v>
      </c>
    </row>
    <row r="171" ht="12" customHeight="1" spans="1:22">
      <c r="A171">
        <v>401060</v>
      </c>
      <c r="B171">
        <v>401060</v>
      </c>
      <c r="C171" t="str">
        <f>INDEX(TextData!B:B,MATCH(B171,TextData!A:A))</f>
        <v>イクスティンクション+</v>
      </c>
      <c r="D171">
        <v>1</v>
      </c>
      <c r="E171" t="str">
        <f>INDEX(Define!X:X,MATCH(D171,Define!W:W))</f>
        <v>元素</v>
      </c>
      <c r="F171">
        <v>101</v>
      </c>
      <c r="G171">
        <v>1</v>
      </c>
      <c r="H171" t="str">
        <f>INDEX(Define!B:B,MATCH(G171,Define!A:A))</f>
        <v>単体</v>
      </c>
      <c r="I171">
        <v>0</v>
      </c>
      <c r="J171">
        <v>120</v>
      </c>
      <c r="K171">
        <v>1</v>
      </c>
      <c r="L171" t="str">
        <f>INDEX(Define!E:E,MATCH(K171,Define!D:D))</f>
        <v>炎</v>
      </c>
      <c r="M171">
        <v>6</v>
      </c>
      <c r="N171" t="str">
        <f>INDEX(Define!H:H,MATCH(M171,Define!G:G))</f>
        <v>強化</v>
      </c>
      <c r="O171">
        <v>4</v>
      </c>
      <c r="P171" t="str">
        <f>INDEX(Define!K:K,MATCH(O171,Define!J:J))</f>
        <v>自身</v>
      </c>
      <c r="Q171">
        <v>4</v>
      </c>
      <c r="R171" t="str">
        <f>INDEX(Define!N:N,MATCH(Q171,Define!M:M))</f>
        <v>自身</v>
      </c>
      <c r="S171">
        <v>1</v>
      </c>
      <c r="T171">
        <v>1</v>
      </c>
      <c r="U171">
        <v>1</v>
      </c>
      <c r="V171" s="5">
        <v>0</v>
      </c>
    </row>
    <row r="172" ht="12" customHeight="1" spans="1:22">
      <c r="A172">
        <v>401070</v>
      </c>
      <c r="B172">
        <v>401070</v>
      </c>
      <c r="C172" t="str">
        <f>INDEX(TextData!B:B,MATCH(B172,TextData!A:A))</f>
        <v>バーニングソウル+</v>
      </c>
      <c r="D172">
        <v>2</v>
      </c>
      <c r="E172" t="str">
        <f>INDEX(Define!X:X,MATCH(D172,Define!W:W))</f>
        <v>光</v>
      </c>
      <c r="F172">
        <v>101</v>
      </c>
      <c r="G172">
        <v>1</v>
      </c>
      <c r="H172" t="str">
        <f>INDEX(Define!B:B,MATCH(G172,Define!A:A))</f>
        <v>単体</v>
      </c>
      <c r="I172">
        <v>0</v>
      </c>
      <c r="J172">
        <v>120</v>
      </c>
      <c r="K172">
        <v>1</v>
      </c>
      <c r="L172" t="str">
        <f>INDEX(Define!E:E,MATCH(K172,Define!D:D))</f>
        <v>炎</v>
      </c>
      <c r="M172">
        <v>6</v>
      </c>
      <c r="N172" t="str">
        <f>INDEX(Define!H:H,MATCH(M172,Define!G:G))</f>
        <v>強化</v>
      </c>
      <c r="O172">
        <v>4</v>
      </c>
      <c r="P172" t="str">
        <f>INDEX(Define!K:K,MATCH(O172,Define!J:J))</f>
        <v>自身</v>
      </c>
      <c r="Q172">
        <v>4</v>
      </c>
      <c r="R172" t="str">
        <f>INDEX(Define!N:N,MATCH(Q172,Define!M:M))</f>
        <v>自身</v>
      </c>
      <c r="S172">
        <v>1</v>
      </c>
      <c r="T172">
        <v>1</v>
      </c>
      <c r="U172">
        <v>1</v>
      </c>
      <c r="V172" s="5">
        <v>0</v>
      </c>
    </row>
    <row r="173" ht="12" customHeight="1" spans="1:22">
      <c r="A173">
        <v>401080</v>
      </c>
      <c r="B173">
        <v>401080</v>
      </c>
      <c r="C173" t="str">
        <f>INDEX(TextData!B:B,MATCH(B173,TextData!A:A))</f>
        <v>レイジングバウンサー+</v>
      </c>
      <c r="D173">
        <v>1</v>
      </c>
      <c r="E173" t="str">
        <f>INDEX(Define!X:X,MATCH(D173,Define!W:W))</f>
        <v>元素</v>
      </c>
      <c r="F173">
        <v>51</v>
      </c>
      <c r="G173">
        <v>1</v>
      </c>
      <c r="H173" t="str">
        <f>INDEX(Define!B:B,MATCH(G173,Define!A:A))</f>
        <v>単体</v>
      </c>
      <c r="I173">
        <v>0</v>
      </c>
      <c r="J173">
        <v>120</v>
      </c>
      <c r="K173">
        <v>1</v>
      </c>
      <c r="L173" t="str">
        <f>INDEX(Define!E:E,MATCH(K173,Define!D:D))</f>
        <v>炎</v>
      </c>
      <c r="M173">
        <v>6</v>
      </c>
      <c r="N173" t="str">
        <f>INDEX(Define!H:H,MATCH(M173,Define!G:G))</f>
        <v>強化</v>
      </c>
      <c r="O173">
        <v>4</v>
      </c>
      <c r="P173" t="str">
        <f>INDEX(Define!K:K,MATCH(O173,Define!J:J))</f>
        <v>自身</v>
      </c>
      <c r="Q173">
        <v>4</v>
      </c>
      <c r="R173" t="str">
        <f>INDEX(Define!N:N,MATCH(Q173,Define!M:M))</f>
        <v>自身</v>
      </c>
      <c r="S173">
        <v>1</v>
      </c>
      <c r="T173">
        <v>1</v>
      </c>
      <c r="U173">
        <v>1</v>
      </c>
      <c r="V173" s="5">
        <v>0</v>
      </c>
    </row>
    <row r="174" spans="1:22">
      <c r="A174">
        <v>402010</v>
      </c>
      <c r="B174">
        <v>402010</v>
      </c>
      <c r="C174" t="str">
        <f>INDEX(TextData!B:B,MATCH(B174,TextData!A:A))</f>
        <v>ディスチャージ+</v>
      </c>
      <c r="D174">
        <v>1</v>
      </c>
      <c r="E174" t="str">
        <f>INDEX(Define!X:X,MATCH(D174,Define!W:W))</f>
        <v>元素</v>
      </c>
      <c r="F174">
        <v>201</v>
      </c>
      <c r="G174">
        <v>1</v>
      </c>
      <c r="H174" t="str">
        <f>INDEX(Define!B:B,MATCH(G174,Define!A:A))</f>
        <v>単体</v>
      </c>
      <c r="I174">
        <v>0</v>
      </c>
      <c r="J174">
        <v>120</v>
      </c>
      <c r="K174">
        <v>2</v>
      </c>
      <c r="L174" t="str">
        <f>INDEX(Define!E:E,MATCH(K174,Define!D:D))</f>
        <v>雷</v>
      </c>
      <c r="M174">
        <v>6</v>
      </c>
      <c r="N174" t="str">
        <f>INDEX(Define!H:H,MATCH(M174,Define!G:G))</f>
        <v>強化</v>
      </c>
      <c r="O174">
        <v>4</v>
      </c>
      <c r="P174" t="str">
        <f>INDEX(Define!K:K,MATCH(O174,Define!J:J))</f>
        <v>自身</v>
      </c>
      <c r="Q174">
        <v>4</v>
      </c>
      <c r="R174" t="str">
        <f>INDEX(Define!N:N,MATCH(Q174,Define!M:M))</f>
        <v>自身</v>
      </c>
      <c r="S174">
        <v>1</v>
      </c>
      <c r="T174">
        <v>1</v>
      </c>
      <c r="U174">
        <v>1</v>
      </c>
      <c r="V174" s="5">
        <v>0</v>
      </c>
    </row>
    <row r="175" spans="1:22">
      <c r="A175">
        <v>402020</v>
      </c>
      <c r="B175">
        <v>402020</v>
      </c>
      <c r="C175" t="str">
        <f>INDEX(TextData!B:B,MATCH(B175,TextData!A:A))</f>
        <v>イベイドコード+</v>
      </c>
      <c r="D175">
        <v>4</v>
      </c>
      <c r="E175" t="str">
        <f>INDEX(Define!X:X,MATCH(D175,Define!W:W))</f>
        <v>精神</v>
      </c>
      <c r="F175">
        <v>51</v>
      </c>
      <c r="G175">
        <v>1</v>
      </c>
      <c r="H175" t="str">
        <f>INDEX(Define!B:B,MATCH(G175,Define!A:A))</f>
        <v>単体</v>
      </c>
      <c r="I175">
        <v>0</v>
      </c>
      <c r="J175">
        <v>120</v>
      </c>
      <c r="K175">
        <v>2</v>
      </c>
      <c r="L175" t="str">
        <f>INDEX(Define!E:E,MATCH(K175,Define!D:D))</f>
        <v>雷</v>
      </c>
      <c r="M175">
        <v>6</v>
      </c>
      <c r="N175" t="str">
        <f>INDEX(Define!H:H,MATCH(M175,Define!G:G))</f>
        <v>強化</v>
      </c>
      <c r="O175">
        <v>4</v>
      </c>
      <c r="P175" t="str">
        <f>INDEX(Define!K:K,MATCH(O175,Define!J:J))</f>
        <v>自身</v>
      </c>
      <c r="Q175">
        <v>4</v>
      </c>
      <c r="R175" t="str">
        <f>INDEX(Define!N:N,MATCH(Q175,Define!M:M))</f>
        <v>自身</v>
      </c>
      <c r="S175">
        <v>1</v>
      </c>
      <c r="T175">
        <v>1</v>
      </c>
      <c r="U175">
        <v>1</v>
      </c>
      <c r="V175" s="5">
        <v>0</v>
      </c>
    </row>
    <row r="176" spans="1:22">
      <c r="A176">
        <v>402030</v>
      </c>
      <c r="B176">
        <v>402030</v>
      </c>
      <c r="C176" t="str">
        <f>INDEX(TextData!B:B,MATCH(B176,TextData!A:A))</f>
        <v>ショックインパルス+</v>
      </c>
      <c r="D176">
        <v>3</v>
      </c>
      <c r="E176" t="str">
        <f>INDEX(Define!X:X,MATCH(D176,Define!W:W))</f>
        <v>理術</v>
      </c>
      <c r="F176">
        <v>201</v>
      </c>
      <c r="G176">
        <v>1</v>
      </c>
      <c r="H176" t="str">
        <f>INDEX(Define!B:B,MATCH(G176,Define!A:A))</f>
        <v>単体</v>
      </c>
      <c r="I176">
        <v>0</v>
      </c>
      <c r="J176">
        <v>120</v>
      </c>
      <c r="K176">
        <v>2</v>
      </c>
      <c r="L176" t="str">
        <f>INDEX(Define!E:E,MATCH(K176,Define!D:D))</f>
        <v>雷</v>
      </c>
      <c r="M176">
        <v>6</v>
      </c>
      <c r="N176" t="str">
        <f>INDEX(Define!H:H,MATCH(M176,Define!G:G))</f>
        <v>強化</v>
      </c>
      <c r="O176">
        <v>4</v>
      </c>
      <c r="P176" t="str">
        <f>INDEX(Define!K:K,MATCH(O176,Define!J:J))</f>
        <v>自身</v>
      </c>
      <c r="Q176">
        <v>4</v>
      </c>
      <c r="R176" t="str">
        <f>INDEX(Define!N:N,MATCH(Q176,Define!M:M))</f>
        <v>自身</v>
      </c>
      <c r="S176">
        <v>1</v>
      </c>
      <c r="T176">
        <v>1</v>
      </c>
      <c r="U176">
        <v>1</v>
      </c>
      <c r="V176" s="5">
        <v>0</v>
      </c>
    </row>
    <row r="177" s="5" customFormat="1" spans="1:22">
      <c r="A177">
        <v>402040</v>
      </c>
      <c r="B177">
        <v>402040</v>
      </c>
      <c r="C177" s="5" t="str">
        <f>INDEX(TextData!B:B,MATCH(B177,TextData!A:A))</f>
        <v>トラストチェイン+</v>
      </c>
      <c r="D177" s="5">
        <v>1</v>
      </c>
      <c r="E177" s="5" t="str">
        <f>INDEX(Define!X:X,MATCH(D177,Define!W:W))</f>
        <v>元素</v>
      </c>
      <c r="F177" s="5">
        <v>51</v>
      </c>
      <c r="G177" s="5">
        <v>1</v>
      </c>
      <c r="H177" s="5" t="str">
        <f>INDEX(Define!B:B,MATCH(G177,Define!A:A))</f>
        <v>単体</v>
      </c>
      <c r="I177">
        <v>0</v>
      </c>
      <c r="J177">
        <v>120</v>
      </c>
      <c r="K177" s="5">
        <v>2</v>
      </c>
      <c r="L177" s="5" t="str">
        <f>INDEX(Define!E:E,MATCH(K177,Define!D:D))</f>
        <v>雷</v>
      </c>
      <c r="M177">
        <v>6</v>
      </c>
      <c r="N177" s="5" t="str">
        <f>INDEX(Define!H:H,MATCH(M177,Define!G:G))</f>
        <v>強化</v>
      </c>
      <c r="O177">
        <v>4</v>
      </c>
      <c r="P177" s="5" t="str">
        <f>INDEX(Define!K:K,MATCH(O177,Define!J:J))</f>
        <v>自身</v>
      </c>
      <c r="Q177">
        <v>4</v>
      </c>
      <c r="R177" s="5" t="str">
        <f>INDEX(Define!N:N,MATCH(Q177,Define!M:M))</f>
        <v>自身</v>
      </c>
      <c r="S177">
        <v>1</v>
      </c>
      <c r="T177">
        <v>1</v>
      </c>
      <c r="U177">
        <v>1</v>
      </c>
      <c r="V177" s="5">
        <v>0</v>
      </c>
    </row>
    <row r="178" spans="1:22">
      <c r="A178">
        <v>402050</v>
      </c>
      <c r="B178">
        <v>402050</v>
      </c>
      <c r="C178" t="str">
        <f>INDEX(TextData!B:B,MATCH(B178,TextData!A:A))</f>
        <v>スペルバニシング+</v>
      </c>
      <c r="D178">
        <v>1</v>
      </c>
      <c r="E178" t="str">
        <f>INDEX(Define!X:X,MATCH(D178,Define!W:W))</f>
        <v>元素</v>
      </c>
      <c r="F178">
        <v>201</v>
      </c>
      <c r="G178">
        <v>1</v>
      </c>
      <c r="H178" t="str">
        <f>INDEX(Define!B:B,MATCH(G178,Define!A:A))</f>
        <v>単体</v>
      </c>
      <c r="I178">
        <v>0</v>
      </c>
      <c r="J178">
        <v>120</v>
      </c>
      <c r="K178">
        <v>2</v>
      </c>
      <c r="L178" t="str">
        <f>INDEX(Define!E:E,MATCH(K178,Define!D:D))</f>
        <v>雷</v>
      </c>
      <c r="M178">
        <v>6</v>
      </c>
      <c r="N178" t="str">
        <f>INDEX(Define!H:H,MATCH(M178,Define!G:G))</f>
        <v>強化</v>
      </c>
      <c r="O178">
        <v>4</v>
      </c>
      <c r="P178" t="str">
        <f>INDEX(Define!K:K,MATCH(O178,Define!J:J))</f>
        <v>自身</v>
      </c>
      <c r="Q178">
        <v>4</v>
      </c>
      <c r="R178" t="str">
        <f>INDEX(Define!N:N,MATCH(Q178,Define!M:M))</f>
        <v>自身</v>
      </c>
      <c r="S178">
        <v>1</v>
      </c>
      <c r="T178">
        <v>1</v>
      </c>
      <c r="U178">
        <v>1</v>
      </c>
      <c r="V178" s="5">
        <v>0</v>
      </c>
    </row>
    <row r="179" spans="1:22">
      <c r="A179">
        <v>402060</v>
      </c>
      <c r="B179">
        <v>402060</v>
      </c>
      <c r="C179" t="str">
        <f>INDEX(TextData!B:B,MATCH(B179,TextData!A:A))</f>
        <v>アーテニーストライク+</v>
      </c>
      <c r="D179">
        <v>1</v>
      </c>
      <c r="E179" t="str">
        <f>INDEX(Define!X:X,MATCH(D179,Define!W:W))</f>
        <v>元素</v>
      </c>
      <c r="F179">
        <v>201</v>
      </c>
      <c r="G179">
        <v>1</v>
      </c>
      <c r="H179" t="str">
        <f>INDEX(Define!B:B,MATCH(G179,Define!A:A))</f>
        <v>単体</v>
      </c>
      <c r="I179">
        <v>0</v>
      </c>
      <c r="J179">
        <v>120</v>
      </c>
      <c r="K179">
        <v>2</v>
      </c>
      <c r="L179" t="str">
        <f>INDEX(Define!E:E,MATCH(K179,Define!D:D))</f>
        <v>雷</v>
      </c>
      <c r="M179">
        <v>6</v>
      </c>
      <c r="N179" t="str">
        <f>INDEX(Define!H:H,MATCH(M179,Define!G:G))</f>
        <v>強化</v>
      </c>
      <c r="O179">
        <v>4</v>
      </c>
      <c r="P179" t="str">
        <f>INDEX(Define!K:K,MATCH(O179,Define!J:J))</f>
        <v>自身</v>
      </c>
      <c r="Q179">
        <v>4</v>
      </c>
      <c r="R179" t="str">
        <f>INDEX(Define!N:N,MATCH(Q179,Define!M:M))</f>
        <v>自身</v>
      </c>
      <c r="S179">
        <v>1</v>
      </c>
      <c r="T179">
        <v>1</v>
      </c>
      <c r="U179">
        <v>1</v>
      </c>
      <c r="V179" s="5">
        <v>0</v>
      </c>
    </row>
    <row r="180" spans="1:22">
      <c r="A180">
        <v>402070</v>
      </c>
      <c r="B180">
        <v>402070</v>
      </c>
      <c r="C180" t="str">
        <f>INDEX(TextData!B:B,MATCH(B180,TextData!A:A))</f>
        <v>コンセントレイト+</v>
      </c>
      <c r="D180">
        <v>3</v>
      </c>
      <c r="E180" t="str">
        <f>INDEX(Define!X:X,MATCH(D180,Define!W:W))</f>
        <v>理術</v>
      </c>
      <c r="F180">
        <v>51</v>
      </c>
      <c r="G180">
        <v>1</v>
      </c>
      <c r="H180" t="str">
        <f>INDEX(Define!B:B,MATCH(G180,Define!A:A))</f>
        <v>単体</v>
      </c>
      <c r="I180">
        <v>0</v>
      </c>
      <c r="J180">
        <v>120</v>
      </c>
      <c r="K180">
        <v>2</v>
      </c>
      <c r="L180" t="str">
        <f>INDEX(Define!E:E,MATCH(K180,Define!D:D))</f>
        <v>雷</v>
      </c>
      <c r="M180">
        <v>6</v>
      </c>
      <c r="N180" t="str">
        <f>INDEX(Define!H:H,MATCH(M180,Define!G:G))</f>
        <v>強化</v>
      </c>
      <c r="O180">
        <v>4</v>
      </c>
      <c r="P180" t="str">
        <f>INDEX(Define!K:K,MATCH(O180,Define!J:J))</f>
        <v>自身</v>
      </c>
      <c r="Q180">
        <v>4</v>
      </c>
      <c r="R180" t="str">
        <f>INDEX(Define!N:N,MATCH(Q180,Define!M:M))</f>
        <v>自身</v>
      </c>
      <c r="S180">
        <v>1</v>
      </c>
      <c r="T180">
        <v>1</v>
      </c>
      <c r="U180">
        <v>1</v>
      </c>
      <c r="V180" s="5">
        <v>0</v>
      </c>
    </row>
    <row r="181" spans="1:22">
      <c r="A181">
        <v>402080</v>
      </c>
      <c r="B181">
        <v>402080</v>
      </c>
      <c r="C181" t="str">
        <f>INDEX(TextData!B:B,MATCH(B181,TextData!A:A))</f>
        <v>ディレイマジック+</v>
      </c>
      <c r="D181">
        <v>5</v>
      </c>
      <c r="E181" t="str">
        <f>INDEX(Define!X:X,MATCH(D181,Define!W:W))</f>
        <v>超次元</v>
      </c>
      <c r="F181">
        <v>201</v>
      </c>
      <c r="G181">
        <v>1</v>
      </c>
      <c r="H181" t="str">
        <f>INDEX(Define!B:B,MATCH(G181,Define!A:A))</f>
        <v>単体</v>
      </c>
      <c r="I181">
        <v>0</v>
      </c>
      <c r="J181">
        <v>120</v>
      </c>
      <c r="K181">
        <v>2</v>
      </c>
      <c r="L181" t="str">
        <f>INDEX(Define!E:E,MATCH(K181,Define!D:D))</f>
        <v>雷</v>
      </c>
      <c r="M181">
        <v>6</v>
      </c>
      <c r="N181" t="str">
        <f>INDEX(Define!H:H,MATCH(M181,Define!G:G))</f>
        <v>強化</v>
      </c>
      <c r="O181">
        <v>4</v>
      </c>
      <c r="P181" t="str">
        <f>INDEX(Define!K:K,MATCH(O181,Define!J:J))</f>
        <v>自身</v>
      </c>
      <c r="Q181">
        <v>4</v>
      </c>
      <c r="R181" t="str">
        <f>INDEX(Define!N:N,MATCH(Q181,Define!M:M))</f>
        <v>自身</v>
      </c>
      <c r="S181">
        <v>1</v>
      </c>
      <c r="T181">
        <v>1</v>
      </c>
      <c r="U181">
        <v>1</v>
      </c>
      <c r="V181" s="5">
        <v>0</v>
      </c>
    </row>
    <row r="182" spans="1:22">
      <c r="A182">
        <v>403010</v>
      </c>
      <c r="B182">
        <v>403010</v>
      </c>
      <c r="C182" t="str">
        <f>INDEX(TextData!B:B,MATCH(B182,TextData!A:A))</f>
        <v>アイスブレイド+</v>
      </c>
      <c r="D182">
        <v>1</v>
      </c>
      <c r="E182" t="str">
        <f>INDEX(Define!X:X,MATCH(D182,Define!W:W))</f>
        <v>元素</v>
      </c>
      <c r="F182">
        <v>301</v>
      </c>
      <c r="G182">
        <v>1</v>
      </c>
      <c r="H182" t="str">
        <f>INDEX(Define!B:B,MATCH(G182,Define!A:A))</f>
        <v>単体</v>
      </c>
      <c r="I182">
        <v>0</v>
      </c>
      <c r="J182">
        <v>120</v>
      </c>
      <c r="K182">
        <v>3</v>
      </c>
      <c r="L182" t="str">
        <f>INDEX(Define!E:E,MATCH(K182,Define!D:D))</f>
        <v>氷</v>
      </c>
      <c r="M182">
        <v>6</v>
      </c>
      <c r="N182" t="str">
        <f>INDEX(Define!H:H,MATCH(M182,Define!G:G))</f>
        <v>強化</v>
      </c>
      <c r="O182">
        <v>4</v>
      </c>
      <c r="P182" t="str">
        <f>INDEX(Define!K:K,MATCH(O182,Define!J:J))</f>
        <v>自身</v>
      </c>
      <c r="Q182">
        <v>4</v>
      </c>
      <c r="R182" t="str">
        <f>INDEX(Define!N:N,MATCH(Q182,Define!M:M))</f>
        <v>自身</v>
      </c>
      <c r="S182">
        <v>1</v>
      </c>
      <c r="T182">
        <v>1</v>
      </c>
      <c r="U182">
        <v>1</v>
      </c>
      <c r="V182" s="5">
        <v>0</v>
      </c>
    </row>
    <row r="183" spans="1:22">
      <c r="A183">
        <v>403020</v>
      </c>
      <c r="B183">
        <v>403020</v>
      </c>
      <c r="C183" t="str">
        <f>INDEX(TextData!B:B,MATCH(B183,TextData!A:A))</f>
        <v>カウンターオーラ+</v>
      </c>
      <c r="D183">
        <v>2</v>
      </c>
      <c r="E183" t="str">
        <f>INDEX(Define!X:X,MATCH(D183,Define!W:W))</f>
        <v>光</v>
      </c>
      <c r="F183">
        <v>301</v>
      </c>
      <c r="G183">
        <v>1</v>
      </c>
      <c r="H183" t="str">
        <f>INDEX(Define!B:B,MATCH(G183,Define!A:A))</f>
        <v>単体</v>
      </c>
      <c r="I183">
        <v>0</v>
      </c>
      <c r="J183">
        <v>120</v>
      </c>
      <c r="K183">
        <v>3</v>
      </c>
      <c r="L183" t="str">
        <f>INDEX(Define!E:E,MATCH(K183,Define!D:D))</f>
        <v>氷</v>
      </c>
      <c r="M183">
        <v>6</v>
      </c>
      <c r="N183" t="str">
        <f>INDEX(Define!H:H,MATCH(M183,Define!G:G))</f>
        <v>強化</v>
      </c>
      <c r="O183">
        <v>4</v>
      </c>
      <c r="P183" t="str">
        <f>INDEX(Define!K:K,MATCH(O183,Define!J:J))</f>
        <v>自身</v>
      </c>
      <c r="Q183">
        <v>4</v>
      </c>
      <c r="R183" t="str">
        <f>INDEX(Define!N:N,MATCH(Q183,Define!M:M))</f>
        <v>自身</v>
      </c>
      <c r="S183">
        <v>1</v>
      </c>
      <c r="T183">
        <v>1</v>
      </c>
      <c r="U183">
        <v>1</v>
      </c>
      <c r="V183" s="5">
        <v>0</v>
      </c>
    </row>
    <row r="184" customFormat="1" spans="1:22">
      <c r="A184">
        <v>403030</v>
      </c>
      <c r="B184">
        <v>403030</v>
      </c>
      <c r="C184" t="str">
        <f>INDEX(TextData!B:B,MATCH(B184,TextData!A:A))</f>
        <v>ラインプロテクト+</v>
      </c>
      <c r="D184">
        <v>4</v>
      </c>
      <c r="E184" t="str">
        <f>INDEX(Define!X:X,MATCH(D184,Define!W:W))</f>
        <v>精神</v>
      </c>
      <c r="F184">
        <v>51</v>
      </c>
      <c r="G184">
        <v>1</v>
      </c>
      <c r="H184" t="str">
        <f>INDEX(Define!B:B,MATCH(G184,Define!A:A))</f>
        <v>単体</v>
      </c>
      <c r="I184">
        <v>0</v>
      </c>
      <c r="J184">
        <v>120</v>
      </c>
      <c r="K184">
        <v>3</v>
      </c>
      <c r="L184" t="str">
        <f>INDEX(Define!E:E,MATCH(K184,Define!D:D))</f>
        <v>氷</v>
      </c>
      <c r="M184">
        <v>6</v>
      </c>
      <c r="N184" t="str">
        <f>INDEX(Define!H:H,MATCH(M184,Define!G:G))</f>
        <v>強化</v>
      </c>
      <c r="O184">
        <v>4</v>
      </c>
      <c r="P184" t="str">
        <f>INDEX(Define!K:K,MATCH(O184,Define!J:J))</f>
        <v>自身</v>
      </c>
      <c r="Q184">
        <v>4</v>
      </c>
      <c r="R184" t="str">
        <f>INDEX(Define!N:N,MATCH(Q184,Define!M:M))</f>
        <v>自身</v>
      </c>
      <c r="S184">
        <v>1</v>
      </c>
      <c r="T184">
        <v>1</v>
      </c>
      <c r="U184">
        <v>1</v>
      </c>
      <c r="V184" s="5">
        <v>0</v>
      </c>
    </row>
    <row r="185" spans="1:22">
      <c r="A185">
        <v>403040</v>
      </c>
      <c r="B185">
        <v>403040</v>
      </c>
      <c r="C185" t="str">
        <f>INDEX(TextData!B:B,MATCH(B185,TextData!A:A))</f>
        <v>エスコートソール+</v>
      </c>
      <c r="D185">
        <v>3</v>
      </c>
      <c r="E185" t="str">
        <f>INDEX(Define!X:X,MATCH(D185,Define!W:W))</f>
        <v>理術</v>
      </c>
      <c r="F185">
        <v>61</v>
      </c>
      <c r="G185">
        <v>1</v>
      </c>
      <c r="H185" t="str">
        <f>INDEX(Define!B:B,MATCH(G185,Define!A:A))</f>
        <v>単体</v>
      </c>
      <c r="I185">
        <v>0</v>
      </c>
      <c r="J185">
        <v>120</v>
      </c>
      <c r="K185">
        <v>3</v>
      </c>
      <c r="L185" t="str">
        <f>INDEX(Define!E:E,MATCH(K185,Define!D:D))</f>
        <v>氷</v>
      </c>
      <c r="M185">
        <v>6</v>
      </c>
      <c r="N185" t="str">
        <f>INDEX(Define!H:H,MATCH(M185,Define!G:G))</f>
        <v>強化</v>
      </c>
      <c r="O185">
        <v>4</v>
      </c>
      <c r="P185" t="str">
        <f>INDEX(Define!K:K,MATCH(O185,Define!J:J))</f>
        <v>自身</v>
      </c>
      <c r="Q185">
        <v>4</v>
      </c>
      <c r="R185" t="str">
        <f>INDEX(Define!N:N,MATCH(Q185,Define!M:M))</f>
        <v>自身</v>
      </c>
      <c r="S185">
        <v>1</v>
      </c>
      <c r="T185">
        <v>1</v>
      </c>
      <c r="U185">
        <v>1</v>
      </c>
      <c r="V185" s="5">
        <v>0</v>
      </c>
    </row>
    <row r="186" spans="1:22">
      <c r="A186">
        <v>403050</v>
      </c>
      <c r="B186">
        <v>403050</v>
      </c>
      <c r="C186" t="str">
        <f>INDEX(TextData!B:B,MATCH(B186,TextData!A:A))</f>
        <v>ディープフリーズ+</v>
      </c>
      <c r="D186">
        <v>3</v>
      </c>
      <c r="E186" t="str">
        <f>INDEX(Define!X:X,MATCH(D186,Define!W:W))</f>
        <v>理術</v>
      </c>
      <c r="F186">
        <v>301</v>
      </c>
      <c r="G186">
        <v>1</v>
      </c>
      <c r="H186" t="str">
        <f>INDEX(Define!B:B,MATCH(G186,Define!A:A))</f>
        <v>単体</v>
      </c>
      <c r="I186">
        <v>0</v>
      </c>
      <c r="J186">
        <v>120</v>
      </c>
      <c r="K186">
        <v>3</v>
      </c>
      <c r="L186" t="str">
        <f>INDEX(Define!E:E,MATCH(K186,Define!D:D))</f>
        <v>氷</v>
      </c>
      <c r="M186">
        <v>6</v>
      </c>
      <c r="N186" t="str">
        <f>INDEX(Define!H:H,MATCH(M186,Define!G:G))</f>
        <v>強化</v>
      </c>
      <c r="O186">
        <v>4</v>
      </c>
      <c r="P186" t="str">
        <f>INDEX(Define!K:K,MATCH(O186,Define!J:J))</f>
        <v>自身</v>
      </c>
      <c r="Q186">
        <v>4</v>
      </c>
      <c r="R186" t="str">
        <f>INDEX(Define!N:N,MATCH(Q186,Define!M:M))</f>
        <v>自身</v>
      </c>
      <c r="S186">
        <v>1</v>
      </c>
      <c r="T186">
        <v>1</v>
      </c>
      <c r="U186">
        <v>1</v>
      </c>
      <c r="V186" s="5">
        <v>0</v>
      </c>
    </row>
    <row r="187" spans="1:22">
      <c r="A187">
        <v>403060</v>
      </c>
      <c r="B187">
        <v>403060</v>
      </c>
      <c r="C187" t="str">
        <f>INDEX(TextData!B:B,MATCH(B187,TextData!A:A))</f>
        <v>バブルブロウ+</v>
      </c>
      <c r="D187">
        <v>3</v>
      </c>
      <c r="E187" t="str">
        <f>INDEX(Define!X:X,MATCH(D187,Define!W:W))</f>
        <v>理術</v>
      </c>
      <c r="F187">
        <v>301</v>
      </c>
      <c r="G187">
        <v>1</v>
      </c>
      <c r="H187" t="str">
        <f>INDEX(Define!B:B,MATCH(G187,Define!A:A))</f>
        <v>単体</v>
      </c>
      <c r="I187">
        <v>0</v>
      </c>
      <c r="J187">
        <v>120</v>
      </c>
      <c r="K187">
        <v>3</v>
      </c>
      <c r="L187" t="str">
        <f>INDEX(Define!E:E,MATCH(K187,Define!D:D))</f>
        <v>氷</v>
      </c>
      <c r="M187">
        <v>6</v>
      </c>
      <c r="N187" t="str">
        <f>INDEX(Define!H:H,MATCH(M187,Define!G:G))</f>
        <v>強化</v>
      </c>
      <c r="O187">
        <v>4</v>
      </c>
      <c r="P187" t="str">
        <f>INDEX(Define!K:K,MATCH(O187,Define!J:J))</f>
        <v>自身</v>
      </c>
      <c r="Q187">
        <v>4</v>
      </c>
      <c r="R187" t="str">
        <f>INDEX(Define!N:N,MATCH(Q187,Define!M:M))</f>
        <v>自身</v>
      </c>
      <c r="S187">
        <v>1</v>
      </c>
      <c r="T187">
        <v>1</v>
      </c>
      <c r="U187">
        <v>1</v>
      </c>
      <c r="V187" s="5">
        <v>0</v>
      </c>
    </row>
    <row r="188" spans="1:22">
      <c r="A188">
        <v>403070</v>
      </c>
      <c r="B188">
        <v>403070</v>
      </c>
      <c r="C188" t="str">
        <f>INDEX(TextData!B:B,MATCH(B188,TextData!A:A))</f>
        <v>アクアミラージュ+</v>
      </c>
      <c r="D188">
        <v>4</v>
      </c>
      <c r="E188" t="str">
        <f>INDEX(Define!X:X,MATCH(D188,Define!W:W))</f>
        <v>精神</v>
      </c>
      <c r="F188">
        <v>51</v>
      </c>
      <c r="G188">
        <v>1</v>
      </c>
      <c r="H188" t="str">
        <f>INDEX(Define!B:B,MATCH(G188,Define!A:A))</f>
        <v>単体</v>
      </c>
      <c r="I188">
        <v>0</v>
      </c>
      <c r="J188">
        <v>120</v>
      </c>
      <c r="K188">
        <v>3</v>
      </c>
      <c r="L188" t="str">
        <f>INDEX(Define!E:E,MATCH(K188,Define!D:D))</f>
        <v>氷</v>
      </c>
      <c r="M188">
        <v>6</v>
      </c>
      <c r="N188" t="str">
        <f>INDEX(Define!H:H,MATCH(M188,Define!G:G))</f>
        <v>強化</v>
      </c>
      <c r="O188">
        <v>4</v>
      </c>
      <c r="P188" t="str">
        <f>INDEX(Define!K:K,MATCH(O188,Define!J:J))</f>
        <v>自身</v>
      </c>
      <c r="Q188">
        <v>4</v>
      </c>
      <c r="R188" t="str">
        <f>INDEX(Define!N:N,MATCH(Q188,Define!M:M))</f>
        <v>自身</v>
      </c>
      <c r="S188">
        <v>1</v>
      </c>
      <c r="T188">
        <v>1</v>
      </c>
      <c r="U188">
        <v>1</v>
      </c>
      <c r="V188" s="5">
        <v>0</v>
      </c>
    </row>
    <row r="189" spans="1:22">
      <c r="A189">
        <v>403080</v>
      </c>
      <c r="B189">
        <v>403080</v>
      </c>
      <c r="C189" t="str">
        <f>INDEX(TextData!B:B,MATCH(B189,TextData!A:A))</f>
        <v>フロストシールド+</v>
      </c>
      <c r="D189">
        <v>4</v>
      </c>
      <c r="E189" t="str">
        <f>INDEX(Define!X:X,MATCH(D189,Define!W:W))</f>
        <v>精神</v>
      </c>
      <c r="F189">
        <v>51</v>
      </c>
      <c r="G189">
        <v>1</v>
      </c>
      <c r="H189" t="str">
        <f>INDEX(Define!B:B,MATCH(G189,Define!A:A))</f>
        <v>単体</v>
      </c>
      <c r="I189">
        <v>0</v>
      </c>
      <c r="J189">
        <v>120</v>
      </c>
      <c r="K189">
        <v>3</v>
      </c>
      <c r="L189" t="str">
        <f>INDEX(Define!E:E,MATCH(K189,Define!D:D))</f>
        <v>氷</v>
      </c>
      <c r="M189">
        <v>6</v>
      </c>
      <c r="N189" t="str">
        <f>INDEX(Define!H:H,MATCH(M189,Define!G:G))</f>
        <v>強化</v>
      </c>
      <c r="O189">
        <v>4</v>
      </c>
      <c r="P189" t="str">
        <f>INDEX(Define!K:K,MATCH(O189,Define!J:J))</f>
        <v>自身</v>
      </c>
      <c r="Q189">
        <v>4</v>
      </c>
      <c r="R189" t="str">
        <f>INDEX(Define!N:N,MATCH(Q189,Define!M:M))</f>
        <v>自身</v>
      </c>
      <c r="S189">
        <v>1</v>
      </c>
      <c r="T189">
        <v>1</v>
      </c>
      <c r="U189">
        <v>1</v>
      </c>
      <c r="V189" s="5">
        <v>0</v>
      </c>
    </row>
    <row r="190" ht="12" customHeight="1" spans="1:22">
      <c r="A190">
        <v>404010</v>
      </c>
      <c r="B190">
        <v>404010</v>
      </c>
      <c r="C190" t="str">
        <f>INDEX(TextData!B:B,MATCH(B190,TextData!A:A))</f>
        <v>セイントレーザー+</v>
      </c>
      <c r="D190">
        <v>1</v>
      </c>
      <c r="E190" t="str">
        <f>INDEX(Define!X:X,MATCH(D190,Define!W:W))</f>
        <v>元素</v>
      </c>
      <c r="F190">
        <v>401</v>
      </c>
      <c r="G190">
        <v>1</v>
      </c>
      <c r="H190" t="str">
        <f>INDEX(Define!B:B,MATCH(G190,Define!A:A))</f>
        <v>単体</v>
      </c>
      <c r="I190">
        <v>0</v>
      </c>
      <c r="J190">
        <v>120</v>
      </c>
      <c r="K190">
        <v>4</v>
      </c>
      <c r="L190" t="str">
        <f>INDEX(Define!E:E,MATCH(K190,Define!D:D))</f>
        <v>光</v>
      </c>
      <c r="M190">
        <v>6</v>
      </c>
      <c r="N190" t="str">
        <f>INDEX(Define!H:H,MATCH(M190,Define!G:G))</f>
        <v>強化</v>
      </c>
      <c r="O190">
        <v>4</v>
      </c>
      <c r="P190" t="str">
        <f>INDEX(Define!K:K,MATCH(O190,Define!J:J))</f>
        <v>自身</v>
      </c>
      <c r="Q190">
        <v>4</v>
      </c>
      <c r="R190" t="str">
        <f>INDEX(Define!N:N,MATCH(Q190,Define!M:M))</f>
        <v>自身</v>
      </c>
      <c r="S190">
        <v>1</v>
      </c>
      <c r="T190">
        <v>1</v>
      </c>
      <c r="U190">
        <v>1</v>
      </c>
      <c r="V190" s="5">
        <v>0</v>
      </c>
    </row>
    <row r="191" s="5" customFormat="1" ht="12" customHeight="1" spans="1:22">
      <c r="A191">
        <v>404020</v>
      </c>
      <c r="B191">
        <v>404020</v>
      </c>
      <c r="C191" s="5" t="str">
        <f>INDEX(TextData!B:B,MATCH(B191,TextData!A:A))</f>
        <v>ペネトレイト+</v>
      </c>
      <c r="D191" s="5">
        <v>1</v>
      </c>
      <c r="E191" s="5" t="str">
        <f>INDEX(Define!X:X,MATCH(D191,Define!W:W))</f>
        <v>元素</v>
      </c>
      <c r="F191" s="5">
        <v>401</v>
      </c>
      <c r="G191" s="5">
        <v>1</v>
      </c>
      <c r="H191" s="5" t="str">
        <f>INDEX(Define!B:B,MATCH(G191,Define!A:A))</f>
        <v>単体</v>
      </c>
      <c r="I191">
        <v>0</v>
      </c>
      <c r="J191">
        <v>120</v>
      </c>
      <c r="K191" s="5">
        <v>4</v>
      </c>
      <c r="L191" s="5" t="str">
        <f>INDEX(Define!E:E,MATCH(K191,Define!D:D))</f>
        <v>光</v>
      </c>
      <c r="M191">
        <v>6</v>
      </c>
      <c r="N191" s="5" t="str">
        <f>INDEX(Define!H:H,MATCH(M191,Define!G:G))</f>
        <v>強化</v>
      </c>
      <c r="O191">
        <v>4</v>
      </c>
      <c r="P191" s="5" t="str">
        <f>INDEX(Define!K:K,MATCH(O191,Define!J:J))</f>
        <v>自身</v>
      </c>
      <c r="Q191">
        <v>4</v>
      </c>
      <c r="R191" s="5" t="str">
        <f>INDEX(Define!N:N,MATCH(Q191,Define!M:M))</f>
        <v>自身</v>
      </c>
      <c r="S191">
        <v>1</v>
      </c>
      <c r="T191">
        <v>1</v>
      </c>
      <c r="U191">
        <v>1</v>
      </c>
      <c r="V191" s="5">
        <v>0</v>
      </c>
    </row>
    <row r="192" ht="12" customHeight="1" spans="1:22">
      <c r="A192">
        <v>404030</v>
      </c>
      <c r="B192">
        <v>404030</v>
      </c>
      <c r="C192" t="str">
        <f>INDEX(TextData!B:B,MATCH(B192,TextData!A:A))</f>
        <v>ヒーリング+</v>
      </c>
      <c r="D192">
        <v>2</v>
      </c>
      <c r="E192" t="str">
        <f>INDEX(Define!X:X,MATCH(D192,Define!W:W))</f>
        <v>光</v>
      </c>
      <c r="F192">
        <v>21</v>
      </c>
      <c r="G192">
        <v>1</v>
      </c>
      <c r="H192" t="str">
        <f>INDEX(Define!B:B,MATCH(G192,Define!A:A))</f>
        <v>単体</v>
      </c>
      <c r="I192">
        <v>0</v>
      </c>
      <c r="J192">
        <v>120</v>
      </c>
      <c r="K192">
        <v>4</v>
      </c>
      <c r="L192" t="str">
        <f>INDEX(Define!E:E,MATCH(K192,Define!D:D))</f>
        <v>光</v>
      </c>
      <c r="M192">
        <v>6</v>
      </c>
      <c r="N192" t="str">
        <f>INDEX(Define!H:H,MATCH(M192,Define!G:G))</f>
        <v>強化</v>
      </c>
      <c r="O192">
        <v>4</v>
      </c>
      <c r="P192" t="str">
        <f>INDEX(Define!K:K,MATCH(O192,Define!J:J))</f>
        <v>自身</v>
      </c>
      <c r="Q192">
        <v>4</v>
      </c>
      <c r="R192" t="str">
        <f>INDEX(Define!N:N,MATCH(Q192,Define!M:M))</f>
        <v>自身</v>
      </c>
      <c r="S192">
        <v>1</v>
      </c>
      <c r="T192">
        <v>1</v>
      </c>
      <c r="U192">
        <v>1</v>
      </c>
      <c r="V192" s="5">
        <v>0</v>
      </c>
    </row>
    <row r="193" customFormat="1" spans="1:22">
      <c r="A193">
        <v>404040</v>
      </c>
      <c r="B193">
        <v>404040</v>
      </c>
      <c r="C193" t="str">
        <f>INDEX(TextData!B:B,MATCH(B193,TextData!A:A))</f>
        <v>リザイアフォトン+</v>
      </c>
      <c r="D193">
        <v>2</v>
      </c>
      <c r="E193" t="str">
        <f>INDEX(Define!X:X,MATCH(D193,Define!W:W))</f>
        <v>光</v>
      </c>
      <c r="F193">
        <v>401</v>
      </c>
      <c r="G193">
        <v>1</v>
      </c>
      <c r="H193" t="str">
        <f>INDEX(Define!B:B,MATCH(G193,Define!A:A))</f>
        <v>単体</v>
      </c>
      <c r="I193">
        <v>0</v>
      </c>
      <c r="J193">
        <v>120</v>
      </c>
      <c r="K193">
        <v>4</v>
      </c>
      <c r="L193" t="str">
        <f>INDEX(Define!E:E,MATCH(K193,Define!D:D))</f>
        <v>光</v>
      </c>
      <c r="M193">
        <v>6</v>
      </c>
      <c r="N193" t="str">
        <f>INDEX(Define!H:H,MATCH(M193,Define!G:G))</f>
        <v>強化</v>
      </c>
      <c r="O193">
        <v>4</v>
      </c>
      <c r="P193" t="str">
        <f>INDEX(Define!K:K,MATCH(O193,Define!J:J))</f>
        <v>自身</v>
      </c>
      <c r="Q193">
        <v>4</v>
      </c>
      <c r="R193" t="str">
        <f>INDEX(Define!N:N,MATCH(Q193,Define!M:M))</f>
        <v>自身</v>
      </c>
      <c r="S193">
        <v>1</v>
      </c>
      <c r="T193">
        <v>1</v>
      </c>
      <c r="U193">
        <v>1</v>
      </c>
      <c r="V193" s="5">
        <v>0</v>
      </c>
    </row>
    <row r="194" s="5" customFormat="1" ht="12" customHeight="1" spans="1:22">
      <c r="A194">
        <v>404050</v>
      </c>
      <c r="B194">
        <v>404050</v>
      </c>
      <c r="C194" s="5" t="str">
        <f>INDEX(TextData!B:B,MATCH(B194,TextData!A:A))</f>
        <v>べネディクション+</v>
      </c>
      <c r="D194" s="5">
        <v>2</v>
      </c>
      <c r="E194" s="5" t="str">
        <f>INDEX(Define!X:X,MATCH(D194,Define!W:W))</f>
        <v>光</v>
      </c>
      <c r="F194" s="5">
        <v>21</v>
      </c>
      <c r="G194" s="5">
        <v>1</v>
      </c>
      <c r="H194" s="5" t="str">
        <f>INDEX(Define!B:B,MATCH(G194,Define!A:A))</f>
        <v>単体</v>
      </c>
      <c r="I194">
        <v>0</v>
      </c>
      <c r="J194">
        <v>120</v>
      </c>
      <c r="K194" s="5">
        <v>4</v>
      </c>
      <c r="L194" s="5" t="str">
        <f>INDEX(Define!E:E,MATCH(K194,Define!D:D))</f>
        <v>光</v>
      </c>
      <c r="M194">
        <v>6</v>
      </c>
      <c r="N194" s="5" t="str">
        <f>INDEX(Define!H:H,MATCH(M194,Define!G:G))</f>
        <v>強化</v>
      </c>
      <c r="O194">
        <v>4</v>
      </c>
      <c r="P194" s="5" t="str">
        <f>INDEX(Define!K:K,MATCH(O194,Define!J:J))</f>
        <v>自身</v>
      </c>
      <c r="Q194">
        <v>4</v>
      </c>
      <c r="R194" s="5" t="str">
        <f>INDEX(Define!N:N,MATCH(Q194,Define!M:M))</f>
        <v>自身</v>
      </c>
      <c r="S194">
        <v>1</v>
      </c>
      <c r="T194">
        <v>1</v>
      </c>
      <c r="U194">
        <v>1</v>
      </c>
      <c r="V194" s="5">
        <v>0</v>
      </c>
    </row>
    <row r="195" spans="1:22">
      <c r="A195">
        <v>404060</v>
      </c>
      <c r="B195">
        <v>404060</v>
      </c>
      <c r="C195" t="str">
        <f>INDEX(TextData!B:B,MATCH(B195,TextData!A:A))</f>
        <v>ホーリーグレイス+</v>
      </c>
      <c r="D195">
        <v>2</v>
      </c>
      <c r="E195" t="str">
        <f>INDEX(Define!X:X,MATCH(D195,Define!W:W))</f>
        <v>光</v>
      </c>
      <c r="F195">
        <v>21</v>
      </c>
      <c r="G195">
        <v>1</v>
      </c>
      <c r="H195" t="str">
        <f>INDEX(Define!B:B,MATCH(G195,Define!A:A))</f>
        <v>単体</v>
      </c>
      <c r="I195">
        <v>0</v>
      </c>
      <c r="J195">
        <v>120</v>
      </c>
      <c r="K195">
        <v>4</v>
      </c>
      <c r="L195" t="str">
        <f>INDEX(Define!E:E,MATCH(K195,Define!D:D))</f>
        <v>光</v>
      </c>
      <c r="M195">
        <v>6</v>
      </c>
      <c r="N195" t="str">
        <f>INDEX(Define!H:H,MATCH(M195,Define!G:G))</f>
        <v>強化</v>
      </c>
      <c r="O195">
        <v>4</v>
      </c>
      <c r="P195" t="str">
        <f>INDEX(Define!K:K,MATCH(O195,Define!J:J))</f>
        <v>自身</v>
      </c>
      <c r="Q195">
        <v>4</v>
      </c>
      <c r="R195" t="str">
        <f>INDEX(Define!N:N,MATCH(Q195,Define!M:M))</f>
        <v>自身</v>
      </c>
      <c r="S195">
        <v>1</v>
      </c>
      <c r="T195">
        <v>1</v>
      </c>
      <c r="U195">
        <v>1</v>
      </c>
      <c r="V195" s="5">
        <v>0</v>
      </c>
    </row>
    <row r="196" spans="1:22">
      <c r="A196">
        <v>404070</v>
      </c>
      <c r="B196">
        <v>404070</v>
      </c>
      <c r="C196" t="str">
        <f>INDEX(TextData!B:B,MATCH(B196,TextData!A:A))</f>
        <v>キュアエール+</v>
      </c>
      <c r="D196">
        <v>2</v>
      </c>
      <c r="E196" t="str">
        <f>INDEX(Define!X:X,MATCH(D196,Define!W:W))</f>
        <v>光</v>
      </c>
      <c r="F196">
        <v>21</v>
      </c>
      <c r="G196">
        <v>1</v>
      </c>
      <c r="H196" t="str">
        <f>INDEX(Define!B:B,MATCH(G196,Define!A:A))</f>
        <v>単体</v>
      </c>
      <c r="I196">
        <v>0</v>
      </c>
      <c r="J196">
        <v>120</v>
      </c>
      <c r="K196">
        <v>4</v>
      </c>
      <c r="L196" t="str">
        <f>INDEX(Define!E:E,MATCH(K196,Define!D:D))</f>
        <v>光</v>
      </c>
      <c r="M196">
        <v>6</v>
      </c>
      <c r="N196" t="str">
        <f>INDEX(Define!H:H,MATCH(M196,Define!G:G))</f>
        <v>強化</v>
      </c>
      <c r="O196">
        <v>4</v>
      </c>
      <c r="P196" t="str">
        <f>INDEX(Define!K:K,MATCH(O196,Define!J:J))</f>
        <v>自身</v>
      </c>
      <c r="Q196">
        <v>4</v>
      </c>
      <c r="R196" t="str">
        <f>INDEX(Define!N:N,MATCH(Q196,Define!M:M))</f>
        <v>自身</v>
      </c>
      <c r="S196">
        <v>1</v>
      </c>
      <c r="T196">
        <v>1</v>
      </c>
      <c r="U196">
        <v>1</v>
      </c>
      <c r="V196" s="5">
        <v>0</v>
      </c>
    </row>
    <row r="197" spans="1:22">
      <c r="A197">
        <v>404080</v>
      </c>
      <c r="B197">
        <v>404080</v>
      </c>
      <c r="C197" t="str">
        <f>INDEX(TextData!B:B,MATCH(B197,TextData!A:A))</f>
        <v>ラインバリア+</v>
      </c>
      <c r="D197">
        <v>2</v>
      </c>
      <c r="E197" t="str">
        <f>INDEX(Define!X:X,MATCH(D197,Define!W:W))</f>
        <v>光</v>
      </c>
      <c r="F197">
        <v>51</v>
      </c>
      <c r="G197">
        <v>1</v>
      </c>
      <c r="H197" t="str">
        <f>INDEX(Define!B:B,MATCH(G197,Define!A:A))</f>
        <v>単体</v>
      </c>
      <c r="I197">
        <v>0</v>
      </c>
      <c r="J197">
        <v>120</v>
      </c>
      <c r="K197">
        <v>4</v>
      </c>
      <c r="L197" t="str">
        <f>INDEX(Define!E:E,MATCH(K197,Define!D:D))</f>
        <v>光</v>
      </c>
      <c r="M197">
        <v>6</v>
      </c>
      <c r="N197" t="str">
        <f>INDEX(Define!H:H,MATCH(M197,Define!G:G))</f>
        <v>強化</v>
      </c>
      <c r="O197">
        <v>4</v>
      </c>
      <c r="P197" t="str">
        <f>INDEX(Define!K:K,MATCH(O197,Define!J:J))</f>
        <v>自身</v>
      </c>
      <c r="Q197">
        <v>4</v>
      </c>
      <c r="R197" t="str">
        <f>INDEX(Define!N:N,MATCH(Q197,Define!M:M))</f>
        <v>自身</v>
      </c>
      <c r="S197">
        <v>1</v>
      </c>
      <c r="T197">
        <v>1</v>
      </c>
      <c r="U197">
        <v>1</v>
      </c>
      <c r="V197" s="5">
        <v>0</v>
      </c>
    </row>
    <row r="198" ht="12" customHeight="1" spans="1:22">
      <c r="A198">
        <v>405010</v>
      </c>
      <c r="B198">
        <v>405010</v>
      </c>
      <c r="C198" t="str">
        <f>INDEX(TextData!B:B,MATCH(B198,TextData!A:A))</f>
        <v>ダークプリズン+</v>
      </c>
      <c r="D198">
        <v>5</v>
      </c>
      <c r="E198" t="str">
        <f>INDEX(Define!X:X,MATCH(D198,Define!W:W))</f>
        <v>超次元</v>
      </c>
      <c r="F198">
        <v>501</v>
      </c>
      <c r="G198">
        <v>1</v>
      </c>
      <c r="H198" t="str">
        <f>INDEX(Define!B:B,MATCH(G198,Define!A:A))</f>
        <v>単体</v>
      </c>
      <c r="I198">
        <v>0</v>
      </c>
      <c r="J198">
        <v>120</v>
      </c>
      <c r="K198">
        <v>5</v>
      </c>
      <c r="L198" t="str">
        <f>INDEX(Define!E:E,MATCH(K198,Define!D:D))</f>
        <v>闇</v>
      </c>
      <c r="M198">
        <v>6</v>
      </c>
      <c r="N198" t="str">
        <f>INDEX(Define!H:H,MATCH(M198,Define!G:G))</f>
        <v>強化</v>
      </c>
      <c r="O198">
        <v>4</v>
      </c>
      <c r="P198" t="str">
        <f>INDEX(Define!K:K,MATCH(O198,Define!J:J))</f>
        <v>自身</v>
      </c>
      <c r="Q198">
        <v>4</v>
      </c>
      <c r="R198" t="str">
        <f>INDEX(Define!N:N,MATCH(Q198,Define!M:M))</f>
        <v>自身</v>
      </c>
      <c r="S198">
        <v>1</v>
      </c>
      <c r="T198">
        <v>1</v>
      </c>
      <c r="U198">
        <v>1</v>
      </c>
      <c r="V198" s="5">
        <v>0</v>
      </c>
    </row>
    <row r="199" ht="12" customHeight="1" spans="1:22">
      <c r="A199">
        <v>405020</v>
      </c>
      <c r="B199">
        <v>405020</v>
      </c>
      <c r="C199" t="str">
        <f>INDEX(TextData!B:B,MATCH(B199,TextData!A:A))</f>
        <v>ユーサネイジア+</v>
      </c>
      <c r="D199">
        <v>5</v>
      </c>
      <c r="E199" t="str">
        <f>INDEX(Define!X:X,MATCH(D199,Define!W:W))</f>
        <v>超次元</v>
      </c>
      <c r="F199">
        <v>501</v>
      </c>
      <c r="G199">
        <v>3</v>
      </c>
      <c r="H199" t="str">
        <f>INDEX(Define!B:B,MATCH(G199,Define!A:A))</f>
        <v>全体</v>
      </c>
      <c r="I199">
        <v>0</v>
      </c>
      <c r="J199">
        <v>120</v>
      </c>
      <c r="K199">
        <v>5</v>
      </c>
      <c r="L199" t="str">
        <f>INDEX(Define!E:E,MATCH(K199,Define!D:D))</f>
        <v>闇</v>
      </c>
      <c r="M199">
        <v>6</v>
      </c>
      <c r="N199" t="str">
        <f>INDEX(Define!H:H,MATCH(M199,Define!G:G))</f>
        <v>強化</v>
      </c>
      <c r="O199">
        <v>4</v>
      </c>
      <c r="P199" t="str">
        <f>INDEX(Define!K:K,MATCH(O199,Define!J:J))</f>
        <v>自身</v>
      </c>
      <c r="Q199">
        <v>4</v>
      </c>
      <c r="R199" t="str">
        <f>INDEX(Define!N:N,MATCH(Q199,Define!M:M))</f>
        <v>自身</v>
      </c>
      <c r="S199">
        <v>1</v>
      </c>
      <c r="T199">
        <v>1</v>
      </c>
      <c r="U199">
        <v>1</v>
      </c>
      <c r="V199" s="5">
        <v>0</v>
      </c>
    </row>
    <row r="200" ht="12" customHeight="1" spans="1:22">
      <c r="A200">
        <v>405030</v>
      </c>
      <c r="B200">
        <v>405030</v>
      </c>
      <c r="C200" t="str">
        <f>INDEX(TextData!B:B,MATCH(B200,TextData!A:A))</f>
        <v>ドレインヒール+</v>
      </c>
      <c r="D200">
        <v>5</v>
      </c>
      <c r="E200" t="str">
        <f>INDEX(Define!X:X,MATCH(D200,Define!W:W))</f>
        <v>超次元</v>
      </c>
      <c r="F200">
        <v>501</v>
      </c>
      <c r="G200">
        <v>1</v>
      </c>
      <c r="H200" t="str">
        <f>INDEX(Define!B:B,MATCH(G200,Define!A:A))</f>
        <v>単体</v>
      </c>
      <c r="I200">
        <v>0</v>
      </c>
      <c r="J200">
        <v>120</v>
      </c>
      <c r="K200">
        <v>5</v>
      </c>
      <c r="L200" t="str">
        <f>INDEX(Define!E:E,MATCH(K200,Define!D:D))</f>
        <v>闇</v>
      </c>
      <c r="M200">
        <v>6</v>
      </c>
      <c r="N200" t="str">
        <f>INDEX(Define!H:H,MATCH(M200,Define!G:G))</f>
        <v>強化</v>
      </c>
      <c r="O200">
        <v>4</v>
      </c>
      <c r="P200" t="str">
        <f>INDEX(Define!K:K,MATCH(O200,Define!J:J))</f>
        <v>自身</v>
      </c>
      <c r="Q200">
        <v>4</v>
      </c>
      <c r="R200" t="str">
        <f>INDEX(Define!N:N,MATCH(Q200,Define!M:M))</f>
        <v>自身</v>
      </c>
      <c r="S200">
        <v>1</v>
      </c>
      <c r="T200">
        <v>1</v>
      </c>
      <c r="U200">
        <v>1</v>
      </c>
      <c r="V200" s="5">
        <v>0</v>
      </c>
    </row>
    <row r="201" ht="12" customHeight="1" spans="1:22">
      <c r="A201">
        <v>405040</v>
      </c>
      <c r="B201">
        <v>405040</v>
      </c>
      <c r="C201" t="str">
        <f>INDEX(TextData!B:B,MATCH(B201,TextData!A:A))</f>
        <v>アビサルデスペア+</v>
      </c>
      <c r="D201">
        <v>5</v>
      </c>
      <c r="E201" t="str">
        <f>INDEX(Define!X:X,MATCH(D201,Define!W:W))</f>
        <v>超次元</v>
      </c>
      <c r="F201">
        <v>501</v>
      </c>
      <c r="G201">
        <v>1</v>
      </c>
      <c r="H201" t="str">
        <f>INDEX(Define!B:B,MATCH(G201,Define!A:A))</f>
        <v>単体</v>
      </c>
      <c r="I201">
        <v>0</v>
      </c>
      <c r="J201">
        <v>120</v>
      </c>
      <c r="K201">
        <v>5</v>
      </c>
      <c r="L201" t="str">
        <f>INDEX(Define!E:E,MATCH(K201,Define!D:D))</f>
        <v>闇</v>
      </c>
      <c r="M201">
        <v>6</v>
      </c>
      <c r="N201" t="str">
        <f>INDEX(Define!H:H,MATCH(M201,Define!G:G))</f>
        <v>強化</v>
      </c>
      <c r="O201">
        <v>4</v>
      </c>
      <c r="P201" t="str">
        <f>INDEX(Define!K:K,MATCH(O201,Define!J:J))</f>
        <v>自身</v>
      </c>
      <c r="Q201">
        <v>4</v>
      </c>
      <c r="R201" t="str">
        <f>INDEX(Define!N:N,MATCH(Q201,Define!M:M))</f>
        <v>自身</v>
      </c>
      <c r="S201">
        <v>1</v>
      </c>
      <c r="T201">
        <v>1</v>
      </c>
      <c r="U201">
        <v>1</v>
      </c>
      <c r="V201" s="5">
        <v>0</v>
      </c>
    </row>
    <row r="202" s="5" customFormat="1" ht="12" customHeight="1" spans="1:22">
      <c r="A202">
        <v>405050</v>
      </c>
      <c r="B202">
        <v>405050</v>
      </c>
      <c r="C202" s="5" t="str">
        <f>INDEX(TextData!B:B,MATCH(B202,TextData!A:A))</f>
        <v>ディプラヴィティ+</v>
      </c>
      <c r="D202" s="5">
        <v>3</v>
      </c>
      <c r="E202" s="5" t="str">
        <f>INDEX(Define!X:X,MATCH(D202,Define!W:W))</f>
        <v>理術</v>
      </c>
      <c r="F202" s="5">
        <v>501</v>
      </c>
      <c r="G202" s="5">
        <v>1</v>
      </c>
      <c r="H202" s="5" t="str">
        <f>INDEX(Define!B:B,MATCH(G202,Define!A:A))</f>
        <v>単体</v>
      </c>
      <c r="I202">
        <v>0</v>
      </c>
      <c r="J202">
        <v>120</v>
      </c>
      <c r="K202" s="5">
        <v>5</v>
      </c>
      <c r="L202" s="5" t="str">
        <f>INDEX(Define!E:E,MATCH(K202,Define!D:D))</f>
        <v>闇</v>
      </c>
      <c r="M202">
        <v>6</v>
      </c>
      <c r="N202" s="5" t="str">
        <f>INDEX(Define!H:H,MATCH(M202,Define!G:G))</f>
        <v>強化</v>
      </c>
      <c r="O202">
        <v>4</v>
      </c>
      <c r="P202" s="5" t="str">
        <f>INDEX(Define!K:K,MATCH(O202,Define!J:J))</f>
        <v>自身</v>
      </c>
      <c r="Q202">
        <v>4</v>
      </c>
      <c r="R202" s="5" t="str">
        <f>INDEX(Define!N:N,MATCH(Q202,Define!M:M))</f>
        <v>自身</v>
      </c>
      <c r="S202">
        <v>1</v>
      </c>
      <c r="T202">
        <v>1</v>
      </c>
      <c r="U202">
        <v>1</v>
      </c>
      <c r="V202" s="5">
        <v>0</v>
      </c>
    </row>
    <row r="203" ht="12" customHeight="1" spans="1:22">
      <c r="A203">
        <v>405060</v>
      </c>
      <c r="B203">
        <v>405060</v>
      </c>
      <c r="C203" t="str">
        <f>INDEX(TextData!B:B,MATCH(B203,TextData!A:A))</f>
        <v>ダークネス+</v>
      </c>
      <c r="D203">
        <v>3</v>
      </c>
      <c r="E203" t="str">
        <f>INDEX(Define!X:X,MATCH(D203,Define!W:W))</f>
        <v>理術</v>
      </c>
      <c r="F203">
        <v>61</v>
      </c>
      <c r="G203">
        <v>1</v>
      </c>
      <c r="H203" t="str">
        <f>INDEX(Define!B:B,MATCH(G203,Define!A:A))</f>
        <v>単体</v>
      </c>
      <c r="I203">
        <v>0</v>
      </c>
      <c r="J203">
        <v>120</v>
      </c>
      <c r="K203">
        <v>5</v>
      </c>
      <c r="L203" t="str">
        <f>INDEX(Define!E:E,MATCH(K203,Define!D:D))</f>
        <v>闇</v>
      </c>
      <c r="M203">
        <v>6</v>
      </c>
      <c r="N203" t="str">
        <f>INDEX(Define!H:H,MATCH(M203,Define!G:G))</f>
        <v>強化</v>
      </c>
      <c r="O203">
        <v>4</v>
      </c>
      <c r="P203" t="str">
        <f>INDEX(Define!K:K,MATCH(O203,Define!J:J))</f>
        <v>自身</v>
      </c>
      <c r="Q203">
        <v>4</v>
      </c>
      <c r="R203" t="str">
        <f>INDEX(Define!N:N,MATCH(Q203,Define!M:M))</f>
        <v>自身</v>
      </c>
      <c r="S203">
        <v>1</v>
      </c>
      <c r="T203">
        <v>1</v>
      </c>
      <c r="U203">
        <v>1</v>
      </c>
      <c r="V203" s="5">
        <v>0</v>
      </c>
    </row>
    <row r="204" ht="12" customHeight="1" spans="1:22">
      <c r="A204">
        <v>405070</v>
      </c>
      <c r="B204">
        <v>405070</v>
      </c>
      <c r="C204" t="str">
        <f>INDEX(TextData!B:B,MATCH(B204,TextData!A:A))</f>
        <v>シェイディークラウド+</v>
      </c>
      <c r="D204">
        <v>5</v>
      </c>
      <c r="E204" t="str">
        <f>INDEX(Define!X:X,MATCH(D204,Define!W:W))</f>
        <v>超次元</v>
      </c>
      <c r="F204">
        <v>61</v>
      </c>
      <c r="G204">
        <v>1</v>
      </c>
      <c r="H204" t="str">
        <f>INDEX(Define!B:B,MATCH(G204,Define!A:A))</f>
        <v>単体</v>
      </c>
      <c r="I204">
        <v>0</v>
      </c>
      <c r="J204">
        <v>120</v>
      </c>
      <c r="K204">
        <v>5</v>
      </c>
      <c r="L204" t="str">
        <f>INDEX(Define!E:E,MATCH(K204,Define!D:D))</f>
        <v>闇</v>
      </c>
      <c r="M204">
        <v>6</v>
      </c>
      <c r="N204" t="str">
        <f>INDEX(Define!H:H,MATCH(M204,Define!G:G))</f>
        <v>強化</v>
      </c>
      <c r="O204">
        <v>4</v>
      </c>
      <c r="P204" t="str">
        <f>INDEX(Define!K:K,MATCH(O204,Define!J:J))</f>
        <v>自身</v>
      </c>
      <c r="Q204">
        <v>4</v>
      </c>
      <c r="R204" t="str">
        <f>INDEX(Define!N:N,MATCH(Q204,Define!M:M))</f>
        <v>自身</v>
      </c>
      <c r="S204">
        <v>1</v>
      </c>
      <c r="T204">
        <v>1</v>
      </c>
      <c r="U204">
        <v>1</v>
      </c>
      <c r="V204" s="5">
        <v>0</v>
      </c>
    </row>
    <row r="205" ht="12" customHeight="1" spans="1:22">
      <c r="A205">
        <v>405080</v>
      </c>
      <c r="B205">
        <v>405080</v>
      </c>
      <c r="C205" t="str">
        <f>INDEX(TextData!B:B,MATCH(B205,TextData!A:A))</f>
        <v>ポイズンブロウ+</v>
      </c>
      <c r="D205">
        <v>5</v>
      </c>
      <c r="E205" t="str">
        <f>INDEX(Define!X:X,MATCH(D205,Define!W:W))</f>
        <v>超次元</v>
      </c>
      <c r="F205">
        <v>501</v>
      </c>
      <c r="G205">
        <v>1</v>
      </c>
      <c r="H205" t="str">
        <f>INDEX(Define!B:B,MATCH(G205,Define!A:A))</f>
        <v>単体</v>
      </c>
      <c r="I205">
        <v>0</v>
      </c>
      <c r="J205">
        <v>120</v>
      </c>
      <c r="K205">
        <v>5</v>
      </c>
      <c r="L205" t="str">
        <f>INDEX(Define!E:E,MATCH(K205,Define!D:D))</f>
        <v>闇</v>
      </c>
      <c r="M205">
        <v>6</v>
      </c>
      <c r="N205" t="str">
        <f>INDEX(Define!H:H,MATCH(M205,Define!G:G))</f>
        <v>強化</v>
      </c>
      <c r="O205">
        <v>4</v>
      </c>
      <c r="P205" t="str">
        <f>INDEX(Define!K:K,MATCH(O205,Define!J:J))</f>
        <v>自身</v>
      </c>
      <c r="Q205">
        <v>4</v>
      </c>
      <c r="R205" t="str">
        <f>INDEX(Define!N:N,MATCH(Q205,Define!M:M))</f>
        <v>自身</v>
      </c>
      <c r="S205">
        <v>1</v>
      </c>
      <c r="T205">
        <v>1</v>
      </c>
      <c r="U205">
        <v>1</v>
      </c>
      <c r="V205" s="5">
        <v>0</v>
      </c>
    </row>
    <row r="206" spans="1:22">
      <c r="A206">
        <v>411010</v>
      </c>
      <c r="B206">
        <v>411010</v>
      </c>
      <c r="C206" t="str">
        <f>INDEX(TextData!B:B,MATCH(B206,TextData!A:A))</f>
        <v>ウルフソウル+</v>
      </c>
      <c r="D206">
        <v>6</v>
      </c>
      <c r="E206" t="str">
        <f>INDEX(Define!X:X,MATCH(D206,Define!W:W))</f>
        <v>自己強化</v>
      </c>
      <c r="G206">
        <v>1</v>
      </c>
      <c r="H206" t="str">
        <f>INDEX(Define!B:B,MATCH(G206,Define!A:A))</f>
        <v>単体</v>
      </c>
      <c r="I206">
        <v>0</v>
      </c>
      <c r="J206">
        <v>110</v>
      </c>
      <c r="K206">
        <v>1</v>
      </c>
      <c r="L206" t="str">
        <f>INDEX(Define!E:E,MATCH(K206,Define!D:D))</f>
        <v>炎</v>
      </c>
      <c r="M206">
        <v>6</v>
      </c>
      <c r="N206" t="str">
        <f>INDEX(Define!H:H,MATCH(M206,Define!G:G))</f>
        <v>強化</v>
      </c>
      <c r="O206">
        <v>4</v>
      </c>
      <c r="P206" t="str">
        <f>INDEX(Define!K:K,MATCH(O206,Define!J:J))</f>
        <v>自身</v>
      </c>
      <c r="Q206">
        <v>4</v>
      </c>
      <c r="R206" t="str">
        <f>INDEX(Define!N:N,MATCH(Q206,Define!M:M))</f>
        <v>自身</v>
      </c>
      <c r="S206">
        <v>1</v>
      </c>
      <c r="T206">
        <v>1</v>
      </c>
      <c r="U206">
        <v>1</v>
      </c>
      <c r="V206" s="5">
        <v>0</v>
      </c>
    </row>
    <row r="207" spans="1:22">
      <c r="A207">
        <v>411020</v>
      </c>
      <c r="B207">
        <v>411020</v>
      </c>
      <c r="C207" t="str">
        <f>INDEX(TextData!B:B,MATCH(B207,TextData!A:A))</f>
        <v>プリディカメント+</v>
      </c>
      <c r="D207">
        <v>6</v>
      </c>
      <c r="E207" t="str">
        <f>INDEX(Define!X:X,MATCH(D207,Define!W:W))</f>
        <v>自己強化</v>
      </c>
      <c r="G207">
        <v>1</v>
      </c>
      <c r="H207" t="str">
        <f>INDEX(Define!B:B,MATCH(G207,Define!A:A))</f>
        <v>単体</v>
      </c>
      <c r="I207">
        <v>0</v>
      </c>
      <c r="J207">
        <v>110</v>
      </c>
      <c r="K207">
        <v>1</v>
      </c>
      <c r="L207" t="str">
        <f>INDEX(Define!E:E,MATCH(K207,Define!D:D))</f>
        <v>炎</v>
      </c>
      <c r="M207">
        <v>6</v>
      </c>
      <c r="N207" t="str">
        <f>INDEX(Define!H:H,MATCH(M207,Define!G:G))</f>
        <v>強化</v>
      </c>
      <c r="O207">
        <v>4</v>
      </c>
      <c r="P207" t="str">
        <f>INDEX(Define!K:K,MATCH(O207,Define!J:J))</f>
        <v>自身</v>
      </c>
      <c r="Q207">
        <v>4</v>
      </c>
      <c r="R207" t="str">
        <f>INDEX(Define!N:N,MATCH(Q207,Define!M:M))</f>
        <v>自身</v>
      </c>
      <c r="S207">
        <v>1</v>
      </c>
      <c r="T207">
        <v>1</v>
      </c>
      <c r="U207">
        <v>1</v>
      </c>
      <c r="V207" s="5">
        <v>0</v>
      </c>
    </row>
    <row r="208" spans="1:22">
      <c r="A208">
        <v>411030</v>
      </c>
      <c r="B208">
        <v>411030</v>
      </c>
      <c r="C208" t="str">
        <f>INDEX(TextData!B:B,MATCH(B208,TextData!A:A))</f>
        <v>アサルトシフト+</v>
      </c>
      <c r="D208">
        <v>6</v>
      </c>
      <c r="E208" t="str">
        <f>INDEX(Define!X:X,MATCH(D208,Define!W:W))</f>
        <v>自己強化</v>
      </c>
      <c r="G208">
        <v>1</v>
      </c>
      <c r="H208" t="str">
        <f>INDEX(Define!B:B,MATCH(G208,Define!A:A))</f>
        <v>単体</v>
      </c>
      <c r="I208">
        <v>0</v>
      </c>
      <c r="J208">
        <v>110</v>
      </c>
      <c r="K208">
        <v>1</v>
      </c>
      <c r="L208" t="str">
        <f>INDEX(Define!E:E,MATCH(K208,Define!D:D))</f>
        <v>炎</v>
      </c>
      <c r="M208">
        <v>6</v>
      </c>
      <c r="N208" t="str">
        <f>INDEX(Define!H:H,MATCH(M208,Define!G:G))</f>
        <v>強化</v>
      </c>
      <c r="O208">
        <v>4</v>
      </c>
      <c r="P208" t="str">
        <f>INDEX(Define!K:K,MATCH(O208,Define!J:J))</f>
        <v>自身</v>
      </c>
      <c r="Q208">
        <v>4</v>
      </c>
      <c r="R208" t="str">
        <f>INDEX(Define!N:N,MATCH(Q208,Define!M:M))</f>
        <v>自身</v>
      </c>
      <c r="S208">
        <v>1</v>
      </c>
      <c r="T208">
        <v>1</v>
      </c>
      <c r="U208">
        <v>1</v>
      </c>
      <c r="V208" s="5">
        <v>0</v>
      </c>
    </row>
    <row r="209" spans="1:22">
      <c r="A209">
        <v>411040</v>
      </c>
      <c r="B209">
        <v>411040</v>
      </c>
      <c r="C209" t="str">
        <f>INDEX(TextData!B:B,MATCH(B209,TextData!A:A))</f>
        <v>アクティブギフト+</v>
      </c>
      <c r="D209">
        <v>6</v>
      </c>
      <c r="E209" t="str">
        <f>INDEX(Define!X:X,MATCH(D209,Define!W:W))</f>
        <v>自己強化</v>
      </c>
      <c r="G209">
        <v>1</v>
      </c>
      <c r="H209" t="str">
        <f>INDEX(Define!B:B,MATCH(G209,Define!A:A))</f>
        <v>単体</v>
      </c>
      <c r="I209">
        <v>0</v>
      </c>
      <c r="J209">
        <v>110</v>
      </c>
      <c r="K209">
        <v>1</v>
      </c>
      <c r="L209" t="str">
        <f>INDEX(Define!E:E,MATCH(K209,Define!D:D))</f>
        <v>炎</v>
      </c>
      <c r="M209">
        <v>6</v>
      </c>
      <c r="N209" t="str">
        <f>INDEX(Define!H:H,MATCH(M209,Define!G:G))</f>
        <v>強化</v>
      </c>
      <c r="O209">
        <v>4</v>
      </c>
      <c r="P209" t="str">
        <f>INDEX(Define!K:K,MATCH(O209,Define!J:J))</f>
        <v>自身</v>
      </c>
      <c r="Q209">
        <v>4</v>
      </c>
      <c r="R209" t="str">
        <f>INDEX(Define!N:N,MATCH(Q209,Define!M:M))</f>
        <v>自身</v>
      </c>
      <c r="S209">
        <v>1</v>
      </c>
      <c r="T209">
        <v>1</v>
      </c>
      <c r="U209">
        <v>1</v>
      </c>
      <c r="V209" s="5">
        <v>0</v>
      </c>
    </row>
    <row r="210" spans="1:22">
      <c r="A210">
        <v>411050</v>
      </c>
      <c r="B210">
        <v>411050</v>
      </c>
      <c r="C210" t="str">
        <f>INDEX(TextData!B:B,MATCH(B210,TextData!A:A))</f>
        <v>イグナイテッド+</v>
      </c>
      <c r="D210">
        <v>6</v>
      </c>
      <c r="E210" t="str">
        <f>INDEX(Define!X:X,MATCH(D210,Define!W:W))</f>
        <v>自己強化</v>
      </c>
      <c r="G210">
        <v>1</v>
      </c>
      <c r="H210" t="str">
        <f>INDEX(Define!B:B,MATCH(G210,Define!A:A))</f>
        <v>単体</v>
      </c>
      <c r="I210">
        <v>0</v>
      </c>
      <c r="J210">
        <v>110</v>
      </c>
      <c r="K210">
        <v>1</v>
      </c>
      <c r="L210" t="str">
        <f>INDEX(Define!E:E,MATCH(K210,Define!D:D))</f>
        <v>炎</v>
      </c>
      <c r="M210">
        <v>6</v>
      </c>
      <c r="N210" t="str">
        <f>INDEX(Define!H:H,MATCH(M210,Define!G:G))</f>
        <v>強化</v>
      </c>
      <c r="O210">
        <v>4</v>
      </c>
      <c r="P210" t="str">
        <f>INDEX(Define!K:K,MATCH(O210,Define!J:J))</f>
        <v>自身</v>
      </c>
      <c r="Q210">
        <v>4</v>
      </c>
      <c r="R210" t="str">
        <f>INDEX(Define!N:N,MATCH(Q210,Define!M:M))</f>
        <v>自身</v>
      </c>
      <c r="S210">
        <v>1</v>
      </c>
      <c r="T210">
        <v>1</v>
      </c>
      <c r="U210">
        <v>1</v>
      </c>
      <c r="V210" s="5">
        <v>0</v>
      </c>
    </row>
    <row r="211" spans="1:22">
      <c r="A211">
        <v>411060</v>
      </c>
      <c r="B211">
        <v>411060</v>
      </c>
      <c r="C211" t="str">
        <f>INDEX(TextData!B:B,MATCH(B211,TextData!A:A))</f>
        <v>ライジングファイア+</v>
      </c>
      <c r="D211">
        <v>6</v>
      </c>
      <c r="E211" t="str">
        <f>INDEX(Define!X:X,MATCH(D211,Define!W:W))</f>
        <v>自己強化</v>
      </c>
      <c r="G211">
        <v>1</v>
      </c>
      <c r="H211" t="str">
        <f>INDEX(Define!B:B,MATCH(G211,Define!A:A))</f>
        <v>単体</v>
      </c>
      <c r="I211">
        <v>0</v>
      </c>
      <c r="J211">
        <v>120</v>
      </c>
      <c r="K211">
        <v>1</v>
      </c>
      <c r="L211" t="str">
        <f>INDEX(Define!E:E,MATCH(K211,Define!D:D))</f>
        <v>炎</v>
      </c>
      <c r="M211">
        <v>6</v>
      </c>
      <c r="N211" t="str">
        <f>INDEX(Define!H:H,MATCH(M211,Define!G:G))</f>
        <v>強化</v>
      </c>
      <c r="O211">
        <v>4</v>
      </c>
      <c r="P211" t="str">
        <f>INDEX(Define!K:K,MATCH(O211,Define!J:J))</f>
        <v>自身</v>
      </c>
      <c r="Q211">
        <v>4</v>
      </c>
      <c r="R211" t="str">
        <f>INDEX(Define!N:N,MATCH(Q211,Define!M:M))</f>
        <v>自身</v>
      </c>
      <c r="S211">
        <v>1</v>
      </c>
      <c r="T211">
        <v>1</v>
      </c>
      <c r="U211">
        <v>1</v>
      </c>
      <c r="V211" s="5">
        <v>0</v>
      </c>
    </row>
    <row r="212" spans="1:22">
      <c r="A212">
        <v>411070</v>
      </c>
      <c r="B212">
        <v>411070</v>
      </c>
      <c r="C212" t="str">
        <f>INDEX(TextData!B:B,MATCH(B212,TextData!A:A))</f>
        <v>ルージュバック+</v>
      </c>
      <c r="D212">
        <v>6</v>
      </c>
      <c r="E212" t="str">
        <f>INDEX(Define!X:X,MATCH(D212,Define!W:W))</f>
        <v>自己強化</v>
      </c>
      <c r="G212">
        <v>1</v>
      </c>
      <c r="H212" t="str">
        <f>INDEX(Define!B:B,MATCH(G212,Define!A:A))</f>
        <v>単体</v>
      </c>
      <c r="I212">
        <v>0</v>
      </c>
      <c r="J212">
        <v>120</v>
      </c>
      <c r="K212">
        <v>1</v>
      </c>
      <c r="L212" t="str">
        <f>INDEX(Define!E:E,MATCH(K212,Define!D:D))</f>
        <v>炎</v>
      </c>
      <c r="M212">
        <v>6</v>
      </c>
      <c r="N212" t="str">
        <f>INDEX(Define!H:H,MATCH(M212,Define!G:G))</f>
        <v>強化</v>
      </c>
      <c r="O212">
        <v>4</v>
      </c>
      <c r="P212" t="str">
        <f>INDEX(Define!K:K,MATCH(O212,Define!J:J))</f>
        <v>自身</v>
      </c>
      <c r="Q212">
        <v>4</v>
      </c>
      <c r="R212" t="str">
        <f>INDEX(Define!N:N,MATCH(Q212,Define!M:M))</f>
        <v>自身</v>
      </c>
      <c r="S212">
        <v>1</v>
      </c>
      <c r="T212">
        <v>1</v>
      </c>
      <c r="U212">
        <v>1</v>
      </c>
      <c r="V212" s="5">
        <v>0</v>
      </c>
    </row>
    <row r="213" spans="1:22">
      <c r="A213">
        <v>411080</v>
      </c>
      <c r="B213">
        <v>411080</v>
      </c>
      <c r="C213" t="str">
        <f>INDEX(TextData!B:B,MATCH(B213,TextData!A:A))</f>
        <v>パワーエール+</v>
      </c>
      <c r="D213">
        <v>6</v>
      </c>
      <c r="E213" t="str">
        <f>INDEX(Define!X:X,MATCH(D213,Define!W:W))</f>
        <v>自己強化</v>
      </c>
      <c r="G213">
        <v>1</v>
      </c>
      <c r="H213" t="str">
        <f>INDEX(Define!B:B,MATCH(G213,Define!A:A))</f>
        <v>単体</v>
      </c>
      <c r="I213">
        <v>0</v>
      </c>
      <c r="J213">
        <v>120</v>
      </c>
      <c r="K213">
        <v>1</v>
      </c>
      <c r="L213" t="str">
        <f>INDEX(Define!E:E,MATCH(K213,Define!D:D))</f>
        <v>炎</v>
      </c>
      <c r="M213">
        <v>6</v>
      </c>
      <c r="N213" t="str">
        <f>INDEX(Define!H:H,MATCH(M213,Define!G:G))</f>
        <v>強化</v>
      </c>
      <c r="O213">
        <v>4</v>
      </c>
      <c r="P213" t="str">
        <f>INDEX(Define!K:K,MATCH(O213,Define!J:J))</f>
        <v>自身</v>
      </c>
      <c r="Q213">
        <v>4</v>
      </c>
      <c r="R213" t="str">
        <f>INDEX(Define!N:N,MATCH(Q213,Define!M:M))</f>
        <v>自身</v>
      </c>
      <c r="S213">
        <v>1</v>
      </c>
      <c r="T213">
        <v>1</v>
      </c>
      <c r="U213">
        <v>1</v>
      </c>
      <c r="V213" s="5">
        <v>0</v>
      </c>
    </row>
    <row r="214" spans="1:22">
      <c r="A214">
        <v>411090</v>
      </c>
      <c r="B214">
        <v>411090</v>
      </c>
      <c r="C214" t="str">
        <f>INDEX(TextData!B:B,MATCH(B214,TextData!A:A))</f>
        <v>スレイプニル+</v>
      </c>
      <c r="D214">
        <v>6</v>
      </c>
      <c r="E214" t="str">
        <f>INDEX(Define!X:X,MATCH(D214,Define!W:W))</f>
        <v>自己強化</v>
      </c>
      <c r="G214">
        <v>1</v>
      </c>
      <c r="H214" t="str">
        <f>INDEX(Define!B:B,MATCH(G214,Define!A:A))</f>
        <v>単体</v>
      </c>
      <c r="I214">
        <v>0</v>
      </c>
      <c r="J214">
        <v>120</v>
      </c>
      <c r="K214">
        <v>1</v>
      </c>
      <c r="L214" t="str">
        <f>INDEX(Define!E:E,MATCH(K214,Define!D:D))</f>
        <v>炎</v>
      </c>
      <c r="M214">
        <v>6</v>
      </c>
      <c r="N214" t="str">
        <f>INDEX(Define!H:H,MATCH(M214,Define!G:G))</f>
        <v>強化</v>
      </c>
      <c r="O214">
        <v>4</v>
      </c>
      <c r="P214" t="str">
        <f>INDEX(Define!K:K,MATCH(O214,Define!J:J))</f>
        <v>自身</v>
      </c>
      <c r="Q214">
        <v>4</v>
      </c>
      <c r="R214" t="str">
        <f>INDEX(Define!N:N,MATCH(Q214,Define!M:M))</f>
        <v>自身</v>
      </c>
      <c r="S214">
        <v>1</v>
      </c>
      <c r="T214">
        <v>1</v>
      </c>
      <c r="U214">
        <v>1</v>
      </c>
      <c r="V214" s="5">
        <v>0</v>
      </c>
    </row>
    <row r="215" spans="1:22">
      <c r="A215">
        <v>412010</v>
      </c>
      <c r="B215">
        <v>412010</v>
      </c>
      <c r="C215" t="str">
        <f>INDEX(TextData!B:B,MATCH(B215,TextData!A:A))</f>
        <v>エクステンション+</v>
      </c>
      <c r="D215">
        <v>6</v>
      </c>
      <c r="E215" t="str">
        <f>INDEX(Define!X:X,MATCH(D215,Define!W:W))</f>
        <v>自己強化</v>
      </c>
      <c r="G215">
        <v>1</v>
      </c>
      <c r="H215" t="str">
        <f>INDEX(Define!B:B,MATCH(G215,Define!A:A))</f>
        <v>単体</v>
      </c>
      <c r="I215">
        <v>0</v>
      </c>
      <c r="J215">
        <v>110</v>
      </c>
      <c r="K215">
        <v>2</v>
      </c>
      <c r="L215" t="str">
        <f>INDEX(Define!E:E,MATCH(K215,Define!D:D))</f>
        <v>雷</v>
      </c>
      <c r="M215">
        <v>6</v>
      </c>
      <c r="N215" t="str">
        <f>INDEX(Define!H:H,MATCH(M215,Define!G:G))</f>
        <v>強化</v>
      </c>
      <c r="O215">
        <v>4</v>
      </c>
      <c r="P215" t="str">
        <f>INDEX(Define!K:K,MATCH(O215,Define!J:J))</f>
        <v>自身</v>
      </c>
      <c r="Q215">
        <v>4</v>
      </c>
      <c r="R215" t="str">
        <f>INDEX(Define!N:N,MATCH(Q215,Define!M:M))</f>
        <v>自身</v>
      </c>
      <c r="S215">
        <v>1</v>
      </c>
      <c r="T215">
        <v>1</v>
      </c>
      <c r="U215">
        <v>1</v>
      </c>
      <c r="V215" s="5">
        <v>0</v>
      </c>
    </row>
    <row r="216" spans="1:22">
      <c r="A216">
        <v>412020</v>
      </c>
      <c r="B216">
        <v>412020</v>
      </c>
      <c r="C216" t="str">
        <f>INDEX(TextData!B:B,MATCH(B216,TextData!A:A))</f>
        <v>ヘブンリーラック+</v>
      </c>
      <c r="D216">
        <v>6</v>
      </c>
      <c r="E216" t="str">
        <f>INDEX(Define!X:X,MATCH(D216,Define!W:W))</f>
        <v>自己強化</v>
      </c>
      <c r="G216">
        <v>1</v>
      </c>
      <c r="H216" t="str">
        <f>INDEX(Define!B:B,MATCH(G216,Define!A:A))</f>
        <v>単体</v>
      </c>
      <c r="I216">
        <v>0</v>
      </c>
      <c r="J216">
        <v>110</v>
      </c>
      <c r="K216">
        <v>2</v>
      </c>
      <c r="L216" t="str">
        <f>INDEX(Define!E:E,MATCH(K216,Define!D:D))</f>
        <v>雷</v>
      </c>
      <c r="M216">
        <v>6</v>
      </c>
      <c r="N216" t="str">
        <f>INDEX(Define!H:H,MATCH(M216,Define!G:G))</f>
        <v>強化</v>
      </c>
      <c r="O216">
        <v>4</v>
      </c>
      <c r="P216" t="str">
        <f>INDEX(Define!K:K,MATCH(O216,Define!J:J))</f>
        <v>自身</v>
      </c>
      <c r="Q216">
        <v>4</v>
      </c>
      <c r="R216" t="str">
        <f>INDEX(Define!N:N,MATCH(Q216,Define!M:M))</f>
        <v>自身</v>
      </c>
      <c r="S216">
        <v>1</v>
      </c>
      <c r="T216">
        <v>1</v>
      </c>
      <c r="U216">
        <v>1</v>
      </c>
      <c r="V216" s="5">
        <v>0</v>
      </c>
    </row>
    <row r="217" spans="1:22">
      <c r="A217">
        <v>412030</v>
      </c>
      <c r="B217">
        <v>412030</v>
      </c>
      <c r="C217" t="str">
        <f>INDEX(TextData!B:B,MATCH(B217,TextData!A:A))</f>
        <v>スウィフトカレント+</v>
      </c>
      <c r="D217">
        <v>6</v>
      </c>
      <c r="E217" t="str">
        <f>INDEX(Define!X:X,MATCH(D217,Define!W:W))</f>
        <v>自己強化</v>
      </c>
      <c r="G217">
        <v>1</v>
      </c>
      <c r="H217" t="str">
        <f>INDEX(Define!B:B,MATCH(G217,Define!A:A))</f>
        <v>単体</v>
      </c>
      <c r="I217">
        <v>0</v>
      </c>
      <c r="J217">
        <v>110</v>
      </c>
      <c r="K217">
        <v>2</v>
      </c>
      <c r="L217" t="str">
        <f>INDEX(Define!E:E,MATCH(K217,Define!D:D))</f>
        <v>雷</v>
      </c>
      <c r="M217">
        <v>6</v>
      </c>
      <c r="N217" t="str">
        <f>INDEX(Define!H:H,MATCH(M217,Define!G:G))</f>
        <v>強化</v>
      </c>
      <c r="O217">
        <v>4</v>
      </c>
      <c r="P217" t="str">
        <f>INDEX(Define!K:K,MATCH(O217,Define!J:J))</f>
        <v>自身</v>
      </c>
      <c r="Q217">
        <v>4</v>
      </c>
      <c r="R217" t="str">
        <f>INDEX(Define!N:N,MATCH(Q217,Define!M:M))</f>
        <v>自身</v>
      </c>
      <c r="S217">
        <v>1</v>
      </c>
      <c r="T217">
        <v>1</v>
      </c>
      <c r="U217">
        <v>1</v>
      </c>
      <c r="V217" s="5">
        <v>0</v>
      </c>
    </row>
    <row r="218" spans="1:22">
      <c r="A218">
        <v>412040</v>
      </c>
      <c r="B218">
        <v>412040</v>
      </c>
      <c r="C218" t="str">
        <f>INDEX(TextData!B:B,MATCH(B218,TextData!A:A))</f>
        <v>イヴェイドオール+</v>
      </c>
      <c r="D218">
        <v>6</v>
      </c>
      <c r="E218" t="str">
        <f>INDEX(Define!X:X,MATCH(D218,Define!W:W))</f>
        <v>自己強化</v>
      </c>
      <c r="G218">
        <v>1</v>
      </c>
      <c r="H218" t="str">
        <f>INDEX(Define!B:B,MATCH(G218,Define!A:A))</f>
        <v>単体</v>
      </c>
      <c r="I218">
        <v>0</v>
      </c>
      <c r="J218">
        <v>110</v>
      </c>
      <c r="K218">
        <v>2</v>
      </c>
      <c r="L218" t="str">
        <f>INDEX(Define!E:E,MATCH(K218,Define!D:D))</f>
        <v>雷</v>
      </c>
      <c r="M218">
        <v>6</v>
      </c>
      <c r="N218" t="str">
        <f>INDEX(Define!H:H,MATCH(M218,Define!G:G))</f>
        <v>強化</v>
      </c>
      <c r="O218">
        <v>4</v>
      </c>
      <c r="P218" t="str">
        <f>INDEX(Define!K:K,MATCH(O218,Define!J:J))</f>
        <v>自身</v>
      </c>
      <c r="Q218">
        <v>4</v>
      </c>
      <c r="R218" t="str">
        <f>INDEX(Define!N:N,MATCH(Q218,Define!M:M))</f>
        <v>自身</v>
      </c>
      <c r="S218">
        <v>1</v>
      </c>
      <c r="T218">
        <v>1</v>
      </c>
      <c r="U218">
        <v>1</v>
      </c>
      <c r="V218" s="5">
        <v>0</v>
      </c>
    </row>
    <row r="219" spans="1:22">
      <c r="A219">
        <v>412050</v>
      </c>
      <c r="B219">
        <v>412050</v>
      </c>
      <c r="C219" t="str">
        <f>INDEX(TextData!B:B,MATCH(B219,TextData!A:A))</f>
        <v>クイックムーブ+</v>
      </c>
      <c r="D219">
        <v>6</v>
      </c>
      <c r="E219" t="str">
        <f>INDEX(Define!X:X,MATCH(D219,Define!W:W))</f>
        <v>自己強化</v>
      </c>
      <c r="G219">
        <v>1</v>
      </c>
      <c r="H219" t="str">
        <f>INDEX(Define!B:B,MATCH(G219,Define!A:A))</f>
        <v>単体</v>
      </c>
      <c r="I219">
        <v>0</v>
      </c>
      <c r="J219">
        <v>110</v>
      </c>
      <c r="K219">
        <v>2</v>
      </c>
      <c r="L219" t="str">
        <f>INDEX(Define!E:E,MATCH(K219,Define!D:D))</f>
        <v>雷</v>
      </c>
      <c r="M219">
        <v>6</v>
      </c>
      <c r="N219" t="str">
        <f>INDEX(Define!H:H,MATCH(M219,Define!G:G))</f>
        <v>強化</v>
      </c>
      <c r="O219">
        <v>4</v>
      </c>
      <c r="P219" t="str">
        <f>INDEX(Define!K:K,MATCH(O219,Define!J:J))</f>
        <v>自身</v>
      </c>
      <c r="Q219">
        <v>4</v>
      </c>
      <c r="R219" t="str">
        <f>INDEX(Define!N:N,MATCH(Q219,Define!M:M))</f>
        <v>自身</v>
      </c>
      <c r="S219">
        <v>1</v>
      </c>
      <c r="T219">
        <v>1</v>
      </c>
      <c r="U219">
        <v>1</v>
      </c>
      <c r="V219" s="5">
        <v>0</v>
      </c>
    </row>
    <row r="220" spans="1:22">
      <c r="A220">
        <v>412060</v>
      </c>
      <c r="B220">
        <v>412060</v>
      </c>
      <c r="C220" t="str">
        <f>INDEX(TextData!B:B,MATCH(B220,TextData!A:A))</f>
        <v>チェイスマジック+</v>
      </c>
      <c r="D220">
        <v>6</v>
      </c>
      <c r="E220" t="str">
        <f>INDEX(Define!X:X,MATCH(D220,Define!W:W))</f>
        <v>自己強化</v>
      </c>
      <c r="G220">
        <v>1</v>
      </c>
      <c r="H220" t="str">
        <f>INDEX(Define!B:B,MATCH(G220,Define!A:A))</f>
        <v>単体</v>
      </c>
      <c r="I220">
        <v>0</v>
      </c>
      <c r="J220">
        <v>120</v>
      </c>
      <c r="K220">
        <v>2</v>
      </c>
      <c r="L220" t="str">
        <f>INDEX(Define!E:E,MATCH(K220,Define!D:D))</f>
        <v>雷</v>
      </c>
      <c r="M220">
        <v>6</v>
      </c>
      <c r="N220" t="str">
        <f>INDEX(Define!H:H,MATCH(M220,Define!G:G))</f>
        <v>強化</v>
      </c>
      <c r="O220">
        <v>4</v>
      </c>
      <c r="P220" t="str">
        <f>INDEX(Define!K:K,MATCH(O220,Define!J:J))</f>
        <v>自身</v>
      </c>
      <c r="Q220">
        <v>4</v>
      </c>
      <c r="R220" t="str">
        <f>INDEX(Define!N:N,MATCH(Q220,Define!M:M))</f>
        <v>自身</v>
      </c>
      <c r="S220">
        <v>1</v>
      </c>
      <c r="T220">
        <v>1</v>
      </c>
      <c r="U220">
        <v>1</v>
      </c>
      <c r="V220" s="5">
        <v>0</v>
      </c>
    </row>
    <row r="221" spans="1:22">
      <c r="A221">
        <v>412070</v>
      </c>
      <c r="B221">
        <v>412070</v>
      </c>
      <c r="C221" t="str">
        <f>INDEX(TextData!B:B,MATCH(B221,TextData!A:A))</f>
        <v>ソーサリーコネクト+</v>
      </c>
      <c r="D221">
        <v>6</v>
      </c>
      <c r="E221" t="str">
        <f>INDEX(Define!X:X,MATCH(D221,Define!W:W))</f>
        <v>自己強化</v>
      </c>
      <c r="G221">
        <v>1</v>
      </c>
      <c r="H221" t="str">
        <f>INDEX(Define!B:B,MATCH(G221,Define!A:A))</f>
        <v>単体</v>
      </c>
      <c r="I221">
        <v>0</v>
      </c>
      <c r="J221">
        <v>120</v>
      </c>
      <c r="K221">
        <v>2</v>
      </c>
      <c r="L221" t="str">
        <f>INDEX(Define!E:E,MATCH(K221,Define!D:D))</f>
        <v>雷</v>
      </c>
      <c r="M221">
        <v>6</v>
      </c>
      <c r="N221" t="str">
        <f>INDEX(Define!H:H,MATCH(M221,Define!G:G))</f>
        <v>強化</v>
      </c>
      <c r="O221">
        <v>4</v>
      </c>
      <c r="P221" t="str">
        <f>INDEX(Define!K:K,MATCH(O221,Define!J:J))</f>
        <v>自身</v>
      </c>
      <c r="Q221">
        <v>4</v>
      </c>
      <c r="R221" t="str">
        <f>INDEX(Define!N:N,MATCH(Q221,Define!M:M))</f>
        <v>自身</v>
      </c>
      <c r="S221">
        <v>1</v>
      </c>
      <c r="T221">
        <v>1</v>
      </c>
      <c r="U221">
        <v>1</v>
      </c>
      <c r="V221" s="5">
        <v>0</v>
      </c>
    </row>
    <row r="222" spans="1:22">
      <c r="A222">
        <v>412080</v>
      </c>
      <c r="B222">
        <v>412080</v>
      </c>
      <c r="C222" t="str">
        <f>INDEX(TextData!B:B,MATCH(B222,TextData!A:A))</f>
        <v>ウィンドライズ+</v>
      </c>
      <c r="D222">
        <v>6</v>
      </c>
      <c r="E222" t="str">
        <f>INDEX(Define!X:X,MATCH(D222,Define!W:W))</f>
        <v>自己強化</v>
      </c>
      <c r="G222">
        <v>1</v>
      </c>
      <c r="H222" t="str">
        <f>INDEX(Define!B:B,MATCH(G222,Define!A:A))</f>
        <v>単体</v>
      </c>
      <c r="I222">
        <v>0</v>
      </c>
      <c r="J222">
        <v>120</v>
      </c>
      <c r="K222">
        <v>2</v>
      </c>
      <c r="L222" t="str">
        <f>INDEX(Define!E:E,MATCH(K222,Define!D:D))</f>
        <v>雷</v>
      </c>
      <c r="M222">
        <v>6</v>
      </c>
      <c r="N222" t="str">
        <f>INDEX(Define!H:H,MATCH(M222,Define!G:G))</f>
        <v>強化</v>
      </c>
      <c r="O222">
        <v>4</v>
      </c>
      <c r="P222" t="str">
        <f>INDEX(Define!K:K,MATCH(O222,Define!J:J))</f>
        <v>自身</v>
      </c>
      <c r="Q222">
        <v>4</v>
      </c>
      <c r="R222" t="str">
        <f>INDEX(Define!N:N,MATCH(Q222,Define!M:M))</f>
        <v>自身</v>
      </c>
      <c r="S222">
        <v>1</v>
      </c>
      <c r="T222">
        <v>1</v>
      </c>
      <c r="U222">
        <v>1</v>
      </c>
      <c r="V222" s="5">
        <v>0</v>
      </c>
    </row>
    <row r="223" spans="1:22">
      <c r="A223">
        <v>412090</v>
      </c>
      <c r="B223">
        <v>412090</v>
      </c>
      <c r="C223" t="str">
        <f>INDEX(TextData!B:B,MATCH(B223,TextData!A:A))</f>
        <v>アウトオブオーダー+</v>
      </c>
      <c r="D223">
        <v>6</v>
      </c>
      <c r="E223" t="str">
        <f>INDEX(Define!X:X,MATCH(D223,Define!W:W))</f>
        <v>自己強化</v>
      </c>
      <c r="G223">
        <v>1</v>
      </c>
      <c r="H223" t="str">
        <f>INDEX(Define!B:B,MATCH(G223,Define!A:A))</f>
        <v>単体</v>
      </c>
      <c r="I223">
        <v>0</v>
      </c>
      <c r="J223">
        <v>120</v>
      </c>
      <c r="K223">
        <v>2</v>
      </c>
      <c r="L223" t="str">
        <f>INDEX(Define!E:E,MATCH(K223,Define!D:D))</f>
        <v>雷</v>
      </c>
      <c r="M223">
        <v>6</v>
      </c>
      <c r="N223" t="str">
        <f>INDEX(Define!H:H,MATCH(M223,Define!G:G))</f>
        <v>強化</v>
      </c>
      <c r="O223">
        <v>4</v>
      </c>
      <c r="P223" t="str">
        <f>INDEX(Define!K:K,MATCH(O223,Define!J:J))</f>
        <v>自身</v>
      </c>
      <c r="Q223">
        <v>4</v>
      </c>
      <c r="R223" t="str">
        <f>INDEX(Define!N:N,MATCH(Q223,Define!M:M))</f>
        <v>自身</v>
      </c>
      <c r="S223">
        <v>1</v>
      </c>
      <c r="T223">
        <v>1</v>
      </c>
      <c r="U223">
        <v>1</v>
      </c>
      <c r="V223" s="5">
        <v>0</v>
      </c>
    </row>
    <row r="224" spans="1:22">
      <c r="A224">
        <v>413010</v>
      </c>
      <c r="B224">
        <v>413010</v>
      </c>
      <c r="C224" t="str">
        <f>INDEX(TextData!B:B,MATCH(B224,TextData!A:A))</f>
        <v>アーマーコード+</v>
      </c>
      <c r="D224">
        <v>6</v>
      </c>
      <c r="E224" t="str">
        <f>INDEX(Define!X:X,MATCH(D224,Define!W:W))</f>
        <v>自己強化</v>
      </c>
      <c r="G224">
        <v>1</v>
      </c>
      <c r="H224" t="str">
        <f>INDEX(Define!B:B,MATCH(G224,Define!A:A))</f>
        <v>単体</v>
      </c>
      <c r="I224">
        <v>0</v>
      </c>
      <c r="J224">
        <v>110</v>
      </c>
      <c r="K224">
        <v>3</v>
      </c>
      <c r="L224" t="str">
        <f>INDEX(Define!E:E,MATCH(K224,Define!D:D))</f>
        <v>氷</v>
      </c>
      <c r="M224">
        <v>6</v>
      </c>
      <c r="N224" t="str">
        <f>INDEX(Define!H:H,MATCH(M224,Define!G:G))</f>
        <v>強化</v>
      </c>
      <c r="O224">
        <v>4</v>
      </c>
      <c r="P224" t="str">
        <f>INDEX(Define!K:K,MATCH(O224,Define!J:J))</f>
        <v>自身</v>
      </c>
      <c r="Q224">
        <v>4</v>
      </c>
      <c r="R224" t="str">
        <f>INDEX(Define!N:N,MATCH(Q224,Define!M:M))</f>
        <v>自身</v>
      </c>
      <c r="S224">
        <v>1</v>
      </c>
      <c r="T224">
        <v>1</v>
      </c>
      <c r="U224">
        <v>1</v>
      </c>
      <c r="V224" s="5">
        <v>0</v>
      </c>
    </row>
    <row r="225" s="5" customFormat="1" ht="12" customHeight="1" spans="1:22">
      <c r="A225">
        <v>413020</v>
      </c>
      <c r="B225">
        <v>413020</v>
      </c>
      <c r="C225" s="5" t="str">
        <f>INDEX(TextData!B:B,MATCH(B225,TextData!A:A))</f>
        <v>クイックバリア+</v>
      </c>
      <c r="D225" s="5">
        <v>6</v>
      </c>
      <c r="E225" s="5" t="str">
        <f>INDEX(Define!X:X,MATCH(D225,Define!W:W))</f>
        <v>自己強化</v>
      </c>
      <c r="F225"/>
      <c r="G225" s="5">
        <v>1</v>
      </c>
      <c r="H225" s="5" t="str">
        <f>INDEX(Define!B:B,MATCH(G225,Define!A:A))</f>
        <v>単体</v>
      </c>
      <c r="I225">
        <v>0</v>
      </c>
      <c r="J225">
        <v>110</v>
      </c>
      <c r="K225" s="5">
        <v>3</v>
      </c>
      <c r="L225" s="5" t="str">
        <f>INDEX(Define!E:E,MATCH(K225,Define!D:D))</f>
        <v>氷</v>
      </c>
      <c r="M225">
        <v>6</v>
      </c>
      <c r="N225" t="str">
        <f>INDEX(Define!H:H,MATCH(M225,Define!G:G))</f>
        <v>強化</v>
      </c>
      <c r="O225">
        <v>4</v>
      </c>
      <c r="P225" t="str">
        <f>INDEX(Define!K:K,MATCH(O225,Define!J:J))</f>
        <v>自身</v>
      </c>
      <c r="Q225">
        <v>4</v>
      </c>
      <c r="R225" t="str">
        <f>INDEX(Define!N:N,MATCH(Q225,Define!M:M))</f>
        <v>自身</v>
      </c>
      <c r="S225">
        <v>1</v>
      </c>
      <c r="T225">
        <v>1</v>
      </c>
      <c r="U225">
        <v>1</v>
      </c>
      <c r="V225" s="5">
        <v>0</v>
      </c>
    </row>
    <row r="226" s="5" customFormat="1" ht="12" customHeight="1" spans="1:22">
      <c r="A226">
        <v>413030</v>
      </c>
      <c r="B226">
        <v>413030</v>
      </c>
      <c r="C226" s="5" t="str">
        <f>INDEX(TextData!B:B,MATCH(B226,TextData!A:A))</f>
        <v>クイックキュア+</v>
      </c>
      <c r="D226" s="5">
        <v>6</v>
      </c>
      <c r="E226" s="5" t="str">
        <f>INDEX(Define!X:X,MATCH(D226,Define!W:W))</f>
        <v>自己強化</v>
      </c>
      <c r="F226"/>
      <c r="G226" s="5">
        <v>1</v>
      </c>
      <c r="H226" s="5" t="str">
        <f>INDEX(Define!B:B,MATCH(G226,Define!A:A))</f>
        <v>単体</v>
      </c>
      <c r="I226">
        <v>0</v>
      </c>
      <c r="J226">
        <v>110</v>
      </c>
      <c r="K226" s="5">
        <v>3</v>
      </c>
      <c r="L226" s="5" t="str">
        <f>INDEX(Define!E:E,MATCH(K226,Define!D:D))</f>
        <v>氷</v>
      </c>
      <c r="M226">
        <v>6</v>
      </c>
      <c r="N226" t="str">
        <f>INDEX(Define!H:H,MATCH(M226,Define!G:G))</f>
        <v>強化</v>
      </c>
      <c r="O226">
        <v>4</v>
      </c>
      <c r="P226" t="str">
        <f>INDEX(Define!K:K,MATCH(O226,Define!J:J))</f>
        <v>自身</v>
      </c>
      <c r="Q226">
        <v>4</v>
      </c>
      <c r="R226" t="str">
        <f>INDEX(Define!N:N,MATCH(Q226,Define!M:M))</f>
        <v>自身</v>
      </c>
      <c r="S226">
        <v>1</v>
      </c>
      <c r="T226">
        <v>1</v>
      </c>
      <c r="U226">
        <v>1</v>
      </c>
      <c r="V226" s="5">
        <v>0</v>
      </c>
    </row>
    <row r="227" spans="1:22">
      <c r="A227">
        <v>413040</v>
      </c>
      <c r="B227">
        <v>413040</v>
      </c>
      <c r="C227" t="str">
        <f>INDEX(TextData!B:B,MATCH(B227,TextData!A:A))</f>
        <v>セルフシールド+</v>
      </c>
      <c r="D227">
        <v>6</v>
      </c>
      <c r="E227" t="str">
        <f>INDEX(Define!X:X,MATCH(D227,Define!W:W))</f>
        <v>自己強化</v>
      </c>
      <c r="G227">
        <v>1</v>
      </c>
      <c r="H227" t="str">
        <f>INDEX(Define!B:B,MATCH(G227,Define!A:A))</f>
        <v>単体</v>
      </c>
      <c r="I227">
        <v>0</v>
      </c>
      <c r="J227">
        <v>110</v>
      </c>
      <c r="K227">
        <v>3</v>
      </c>
      <c r="L227" t="str">
        <f>INDEX(Define!E:E,MATCH(K227,Define!D:D))</f>
        <v>氷</v>
      </c>
      <c r="M227">
        <v>6</v>
      </c>
      <c r="N227" t="str">
        <f>INDEX(Define!H:H,MATCH(M227,Define!G:G))</f>
        <v>強化</v>
      </c>
      <c r="O227">
        <v>4</v>
      </c>
      <c r="P227" t="str">
        <f>INDEX(Define!K:K,MATCH(O227,Define!J:J))</f>
        <v>自身</v>
      </c>
      <c r="Q227">
        <v>4</v>
      </c>
      <c r="R227" t="str">
        <f>INDEX(Define!N:N,MATCH(Q227,Define!M:M))</f>
        <v>自身</v>
      </c>
      <c r="S227">
        <v>1</v>
      </c>
      <c r="T227">
        <v>1</v>
      </c>
      <c r="U227">
        <v>1</v>
      </c>
      <c r="V227" s="5">
        <v>0</v>
      </c>
    </row>
    <row r="228" spans="1:22">
      <c r="A228">
        <v>413050</v>
      </c>
      <c r="B228">
        <v>413050</v>
      </c>
      <c r="C228" t="str">
        <f>INDEX(TextData!B:B,MATCH(B228,TextData!A:A))</f>
        <v>パッシブジャミング+</v>
      </c>
      <c r="D228">
        <v>6</v>
      </c>
      <c r="E228" t="str">
        <f>INDEX(Define!X:X,MATCH(D228,Define!W:W))</f>
        <v>自己強化</v>
      </c>
      <c r="G228">
        <v>1</v>
      </c>
      <c r="H228" t="str">
        <f>INDEX(Define!B:B,MATCH(G228,Define!A:A))</f>
        <v>単体</v>
      </c>
      <c r="I228">
        <v>0</v>
      </c>
      <c r="J228">
        <v>110</v>
      </c>
      <c r="K228">
        <v>3</v>
      </c>
      <c r="L228" t="str">
        <f>INDEX(Define!E:E,MATCH(K228,Define!D:D))</f>
        <v>氷</v>
      </c>
      <c r="M228">
        <v>6</v>
      </c>
      <c r="N228" t="str">
        <f>INDEX(Define!H:H,MATCH(M228,Define!G:G))</f>
        <v>強化</v>
      </c>
      <c r="O228">
        <v>4</v>
      </c>
      <c r="P228" t="str">
        <f>INDEX(Define!K:K,MATCH(O228,Define!J:J))</f>
        <v>自身</v>
      </c>
      <c r="Q228">
        <v>4</v>
      </c>
      <c r="R228" t="str">
        <f>INDEX(Define!N:N,MATCH(Q228,Define!M:M))</f>
        <v>自身</v>
      </c>
      <c r="S228">
        <v>1</v>
      </c>
      <c r="T228">
        <v>1</v>
      </c>
      <c r="U228">
        <v>1</v>
      </c>
      <c r="V228" s="5">
        <v>0</v>
      </c>
    </row>
    <row r="229" spans="1:22">
      <c r="A229">
        <v>413060</v>
      </c>
      <c r="B229">
        <v>413060</v>
      </c>
      <c r="C229" t="str">
        <f>INDEX(TextData!B:B,MATCH(B229,TextData!A:A))</f>
        <v>サプライカバー+</v>
      </c>
      <c r="D229">
        <v>6</v>
      </c>
      <c r="E229" t="str">
        <f>INDEX(Define!X:X,MATCH(D229,Define!W:W))</f>
        <v>自己強化</v>
      </c>
      <c r="G229">
        <v>1</v>
      </c>
      <c r="H229" t="str">
        <f>INDEX(Define!B:B,MATCH(G229,Define!A:A))</f>
        <v>単体</v>
      </c>
      <c r="I229">
        <v>0</v>
      </c>
      <c r="J229">
        <v>120</v>
      </c>
      <c r="K229">
        <v>3</v>
      </c>
      <c r="L229" t="str">
        <f>INDEX(Define!E:E,MATCH(K229,Define!D:D))</f>
        <v>氷</v>
      </c>
      <c r="M229">
        <v>6</v>
      </c>
      <c r="N229" t="str">
        <f>INDEX(Define!H:H,MATCH(M229,Define!G:G))</f>
        <v>強化</v>
      </c>
      <c r="O229">
        <v>4</v>
      </c>
      <c r="P229" t="str">
        <f>INDEX(Define!K:K,MATCH(O229,Define!J:J))</f>
        <v>自身</v>
      </c>
      <c r="Q229">
        <v>4</v>
      </c>
      <c r="R229" t="str">
        <f>INDEX(Define!N:N,MATCH(Q229,Define!M:M))</f>
        <v>自身</v>
      </c>
      <c r="S229">
        <v>1</v>
      </c>
      <c r="T229">
        <v>1</v>
      </c>
      <c r="U229">
        <v>1</v>
      </c>
      <c r="V229" s="5">
        <v>0</v>
      </c>
    </row>
    <row r="230" spans="1:22">
      <c r="A230">
        <v>413070</v>
      </c>
      <c r="B230">
        <v>413070</v>
      </c>
      <c r="C230" t="str">
        <f>INDEX(TextData!B:B,MATCH(B230,TextData!A:A))</f>
        <v>アシッドラッシュ+</v>
      </c>
      <c r="D230">
        <v>6</v>
      </c>
      <c r="E230" t="str">
        <f>INDEX(Define!X:X,MATCH(D230,Define!W:W))</f>
        <v>自己強化</v>
      </c>
      <c r="G230">
        <v>1</v>
      </c>
      <c r="H230" t="str">
        <f>INDEX(Define!B:B,MATCH(G230,Define!A:A))</f>
        <v>単体</v>
      </c>
      <c r="I230">
        <v>0</v>
      </c>
      <c r="J230">
        <v>120</v>
      </c>
      <c r="K230">
        <v>3</v>
      </c>
      <c r="L230" t="str">
        <f>INDEX(Define!E:E,MATCH(K230,Define!D:D))</f>
        <v>氷</v>
      </c>
      <c r="M230">
        <v>6</v>
      </c>
      <c r="N230" t="str">
        <f>INDEX(Define!H:H,MATCH(M230,Define!G:G))</f>
        <v>強化</v>
      </c>
      <c r="O230">
        <v>4</v>
      </c>
      <c r="P230" t="str">
        <f>INDEX(Define!K:K,MATCH(O230,Define!J:J))</f>
        <v>自身</v>
      </c>
      <c r="Q230">
        <v>4</v>
      </c>
      <c r="R230" t="str">
        <f>INDEX(Define!N:N,MATCH(Q230,Define!M:M))</f>
        <v>自身</v>
      </c>
      <c r="S230">
        <v>1</v>
      </c>
      <c r="T230">
        <v>1</v>
      </c>
      <c r="U230">
        <v>1</v>
      </c>
      <c r="V230" s="5">
        <v>0</v>
      </c>
    </row>
    <row r="231" spans="1:22">
      <c r="A231">
        <v>413080</v>
      </c>
      <c r="B231">
        <v>413080</v>
      </c>
      <c r="C231" t="str">
        <f>INDEX(TextData!B:B,MATCH(B231,TextData!A:A))</f>
        <v>ライフスティール+</v>
      </c>
      <c r="D231">
        <v>6</v>
      </c>
      <c r="E231" t="str">
        <f>INDEX(Define!X:X,MATCH(D231,Define!W:W))</f>
        <v>自己強化</v>
      </c>
      <c r="G231">
        <v>1</v>
      </c>
      <c r="H231" t="str">
        <f>INDEX(Define!B:B,MATCH(G231,Define!A:A))</f>
        <v>単体</v>
      </c>
      <c r="I231">
        <v>0</v>
      </c>
      <c r="J231">
        <v>120</v>
      </c>
      <c r="K231">
        <v>3</v>
      </c>
      <c r="L231" t="str">
        <f>INDEX(Define!E:E,MATCH(K231,Define!D:D))</f>
        <v>氷</v>
      </c>
      <c r="M231">
        <v>6</v>
      </c>
      <c r="N231" t="str">
        <f>INDEX(Define!H:H,MATCH(M231,Define!G:G))</f>
        <v>強化</v>
      </c>
      <c r="O231">
        <v>4</v>
      </c>
      <c r="P231" t="str">
        <f>INDEX(Define!K:K,MATCH(O231,Define!J:J))</f>
        <v>自身</v>
      </c>
      <c r="Q231">
        <v>4</v>
      </c>
      <c r="R231" t="str">
        <f>INDEX(Define!N:N,MATCH(Q231,Define!M:M))</f>
        <v>自身</v>
      </c>
      <c r="S231">
        <v>1</v>
      </c>
      <c r="T231">
        <v>1</v>
      </c>
      <c r="U231">
        <v>1</v>
      </c>
      <c r="V231" s="5">
        <v>0</v>
      </c>
    </row>
    <row r="232" spans="1:22">
      <c r="A232">
        <v>413090</v>
      </c>
      <c r="B232">
        <v>413090</v>
      </c>
      <c r="C232" t="str">
        <f>INDEX(TextData!B:B,MATCH(B232,TextData!A:A))</f>
        <v>アイスセイバー+</v>
      </c>
      <c r="D232">
        <v>6</v>
      </c>
      <c r="E232" t="str">
        <f>INDEX(Define!X:X,MATCH(D232,Define!W:W))</f>
        <v>自己強化</v>
      </c>
      <c r="G232">
        <v>1</v>
      </c>
      <c r="H232" t="str">
        <f>INDEX(Define!B:B,MATCH(G232,Define!A:A))</f>
        <v>単体</v>
      </c>
      <c r="I232">
        <v>0</v>
      </c>
      <c r="J232">
        <v>120</v>
      </c>
      <c r="K232">
        <v>3</v>
      </c>
      <c r="L232" t="str">
        <f>INDEX(Define!E:E,MATCH(K232,Define!D:D))</f>
        <v>氷</v>
      </c>
      <c r="M232">
        <v>6</v>
      </c>
      <c r="N232" t="str">
        <f>INDEX(Define!H:H,MATCH(M232,Define!G:G))</f>
        <v>強化</v>
      </c>
      <c r="O232">
        <v>4</v>
      </c>
      <c r="P232" t="str">
        <f>INDEX(Define!K:K,MATCH(O232,Define!J:J))</f>
        <v>自身</v>
      </c>
      <c r="Q232">
        <v>4</v>
      </c>
      <c r="R232" t="str">
        <f>INDEX(Define!N:N,MATCH(Q232,Define!M:M))</f>
        <v>自身</v>
      </c>
      <c r="S232">
        <v>1</v>
      </c>
      <c r="T232">
        <v>1</v>
      </c>
      <c r="U232">
        <v>1</v>
      </c>
      <c r="V232" s="5">
        <v>0</v>
      </c>
    </row>
    <row r="233" ht="12" customHeight="1" spans="1:22">
      <c r="A233">
        <v>414010</v>
      </c>
      <c r="B233">
        <v>414010</v>
      </c>
      <c r="C233" t="str">
        <f>INDEX(TextData!B:B,MATCH(B233,TextData!A:A))</f>
        <v>ディバインシールド+</v>
      </c>
      <c r="D233">
        <v>6</v>
      </c>
      <c r="E233" t="str">
        <f>INDEX(Define!X:X,MATCH(D233,Define!W:W))</f>
        <v>自己強化</v>
      </c>
      <c r="G233">
        <v>1</v>
      </c>
      <c r="H233" t="str">
        <f>INDEX(Define!B:B,MATCH(G233,Define!A:A))</f>
        <v>単体</v>
      </c>
      <c r="I233">
        <v>0</v>
      </c>
      <c r="J233">
        <v>110</v>
      </c>
      <c r="K233">
        <v>4</v>
      </c>
      <c r="L233" t="str">
        <f>INDEX(Define!E:E,MATCH(K233,Define!D:D))</f>
        <v>光</v>
      </c>
      <c r="M233">
        <v>6</v>
      </c>
      <c r="N233" t="str">
        <f>INDEX(Define!H:H,MATCH(M233,Define!G:G))</f>
        <v>強化</v>
      </c>
      <c r="O233">
        <v>4</v>
      </c>
      <c r="P233" t="str">
        <f>INDEX(Define!K:K,MATCH(O233,Define!J:J))</f>
        <v>自身</v>
      </c>
      <c r="Q233">
        <v>4</v>
      </c>
      <c r="R233" t="str">
        <f>INDEX(Define!N:N,MATCH(Q233,Define!M:M))</f>
        <v>自身</v>
      </c>
      <c r="S233">
        <v>1</v>
      </c>
      <c r="T233">
        <v>1</v>
      </c>
      <c r="U233">
        <v>1</v>
      </c>
      <c r="V233" s="5">
        <v>0</v>
      </c>
    </row>
    <row r="234" ht="12" customHeight="1" spans="1:22">
      <c r="A234">
        <v>414020</v>
      </c>
      <c r="B234">
        <v>414020</v>
      </c>
      <c r="C234" t="str">
        <f>INDEX(TextData!B:B,MATCH(B234,TextData!A:A))</f>
        <v>ライフディバイド+</v>
      </c>
      <c r="D234">
        <v>6</v>
      </c>
      <c r="E234" t="str">
        <f>INDEX(Define!X:X,MATCH(D234,Define!W:W))</f>
        <v>自己強化</v>
      </c>
      <c r="G234">
        <v>1</v>
      </c>
      <c r="H234" t="str">
        <f>INDEX(Define!B:B,MATCH(G234,Define!A:A))</f>
        <v>単体</v>
      </c>
      <c r="I234">
        <v>0</v>
      </c>
      <c r="J234">
        <v>110</v>
      </c>
      <c r="K234">
        <v>4</v>
      </c>
      <c r="L234" t="str">
        <f>INDEX(Define!E:E,MATCH(K234,Define!D:D))</f>
        <v>光</v>
      </c>
      <c r="M234">
        <v>6</v>
      </c>
      <c r="N234" t="str">
        <f>INDEX(Define!H:H,MATCH(M234,Define!G:G))</f>
        <v>強化</v>
      </c>
      <c r="O234">
        <v>4</v>
      </c>
      <c r="P234" t="str">
        <f>INDEX(Define!K:K,MATCH(O234,Define!J:J))</f>
        <v>自身</v>
      </c>
      <c r="Q234">
        <v>4</v>
      </c>
      <c r="R234" t="str">
        <f>INDEX(Define!N:N,MATCH(Q234,Define!M:M))</f>
        <v>自身</v>
      </c>
      <c r="S234">
        <v>1</v>
      </c>
      <c r="T234">
        <v>1</v>
      </c>
      <c r="U234">
        <v>1</v>
      </c>
      <c r="V234" s="5">
        <v>0</v>
      </c>
    </row>
    <row r="235" ht="12" customHeight="1" spans="1:22">
      <c r="A235">
        <v>414030</v>
      </c>
      <c r="B235">
        <v>414030</v>
      </c>
      <c r="C235" t="str">
        <f>INDEX(TextData!B:B,MATCH(B235,TextData!A:A))</f>
        <v>エイミングスコープ+</v>
      </c>
      <c r="D235">
        <v>6</v>
      </c>
      <c r="E235" t="str">
        <f>INDEX(Define!X:X,MATCH(D235,Define!W:W))</f>
        <v>自己強化</v>
      </c>
      <c r="G235">
        <v>1</v>
      </c>
      <c r="H235" t="str">
        <f>INDEX(Define!B:B,MATCH(G235,Define!A:A))</f>
        <v>単体</v>
      </c>
      <c r="I235">
        <v>0</v>
      </c>
      <c r="J235">
        <v>110</v>
      </c>
      <c r="K235">
        <v>4</v>
      </c>
      <c r="L235" t="str">
        <f>INDEX(Define!E:E,MATCH(K235,Define!D:D))</f>
        <v>光</v>
      </c>
      <c r="M235">
        <v>6</v>
      </c>
      <c r="N235" t="str">
        <f>INDEX(Define!H:H,MATCH(M235,Define!G:G))</f>
        <v>強化</v>
      </c>
      <c r="O235">
        <v>4</v>
      </c>
      <c r="P235" t="str">
        <f>INDEX(Define!K:K,MATCH(O235,Define!J:J))</f>
        <v>自身</v>
      </c>
      <c r="Q235">
        <v>4</v>
      </c>
      <c r="R235" t="str">
        <f>INDEX(Define!N:N,MATCH(Q235,Define!M:M))</f>
        <v>自身</v>
      </c>
      <c r="S235">
        <v>1</v>
      </c>
      <c r="T235">
        <v>1</v>
      </c>
      <c r="U235">
        <v>1</v>
      </c>
      <c r="V235" s="5">
        <v>0</v>
      </c>
    </row>
    <row r="236" ht="12" customHeight="1" spans="1:22">
      <c r="A236">
        <v>414040</v>
      </c>
      <c r="B236">
        <v>414040</v>
      </c>
      <c r="C236" t="str">
        <f>INDEX(TextData!B:B,MATCH(B236,TextData!A:A))</f>
        <v>リジェネレーション+</v>
      </c>
      <c r="D236">
        <v>6</v>
      </c>
      <c r="E236" t="str">
        <f>INDEX(Define!X:X,MATCH(D236,Define!W:W))</f>
        <v>自己強化</v>
      </c>
      <c r="G236">
        <v>1</v>
      </c>
      <c r="H236" t="str">
        <f>INDEX(Define!B:B,MATCH(G236,Define!A:A))</f>
        <v>単体</v>
      </c>
      <c r="I236">
        <v>0</v>
      </c>
      <c r="J236">
        <v>110</v>
      </c>
      <c r="K236">
        <v>4</v>
      </c>
      <c r="L236" t="str">
        <f>INDEX(Define!E:E,MATCH(K236,Define!D:D))</f>
        <v>光</v>
      </c>
      <c r="M236">
        <v>6</v>
      </c>
      <c r="N236" t="str">
        <f>INDEX(Define!H:H,MATCH(M236,Define!G:G))</f>
        <v>強化</v>
      </c>
      <c r="O236">
        <v>4</v>
      </c>
      <c r="P236" t="str">
        <f>INDEX(Define!K:K,MATCH(O236,Define!J:J))</f>
        <v>自身</v>
      </c>
      <c r="Q236">
        <v>4</v>
      </c>
      <c r="R236" t="str">
        <f>INDEX(Define!N:N,MATCH(Q236,Define!M:M))</f>
        <v>自身</v>
      </c>
      <c r="S236">
        <v>1</v>
      </c>
      <c r="T236">
        <v>1</v>
      </c>
      <c r="U236">
        <v>1</v>
      </c>
      <c r="V236" s="5">
        <v>0</v>
      </c>
    </row>
    <row r="237" ht="12" customHeight="1" spans="1:22">
      <c r="A237">
        <v>414050</v>
      </c>
      <c r="B237">
        <v>414050</v>
      </c>
      <c r="C237" t="str">
        <f>INDEX(TextData!B:B,MATCH(B237,TextData!A:A))</f>
        <v>ホープフルアイリス+</v>
      </c>
      <c r="D237">
        <v>6</v>
      </c>
      <c r="E237" t="str">
        <f>INDEX(Define!X:X,MATCH(D237,Define!W:W))</f>
        <v>自己強化</v>
      </c>
      <c r="G237">
        <v>1</v>
      </c>
      <c r="H237" t="str">
        <f>INDEX(Define!B:B,MATCH(G237,Define!A:A))</f>
        <v>単体</v>
      </c>
      <c r="I237">
        <v>0</v>
      </c>
      <c r="J237">
        <v>110</v>
      </c>
      <c r="K237">
        <v>4</v>
      </c>
      <c r="L237" t="str">
        <f>INDEX(Define!E:E,MATCH(K237,Define!D:D))</f>
        <v>光</v>
      </c>
      <c r="M237">
        <v>6</v>
      </c>
      <c r="N237" t="str">
        <f>INDEX(Define!H:H,MATCH(M237,Define!G:G))</f>
        <v>強化</v>
      </c>
      <c r="O237">
        <v>4</v>
      </c>
      <c r="P237" t="str">
        <f>INDEX(Define!K:K,MATCH(O237,Define!J:J))</f>
        <v>自身</v>
      </c>
      <c r="Q237">
        <v>4</v>
      </c>
      <c r="R237" t="str">
        <f>INDEX(Define!N:N,MATCH(Q237,Define!M:M))</f>
        <v>自身</v>
      </c>
      <c r="S237">
        <v>1</v>
      </c>
      <c r="T237">
        <v>1</v>
      </c>
      <c r="U237">
        <v>1</v>
      </c>
      <c r="V237" s="5">
        <v>0</v>
      </c>
    </row>
    <row r="238" ht="12" customHeight="1" spans="1:22">
      <c r="A238">
        <v>414060</v>
      </c>
      <c r="B238">
        <v>414060</v>
      </c>
      <c r="C238" t="str">
        <f>INDEX(TextData!B:B,MATCH(B238,TextData!A:A))</f>
        <v>パッシブサプライ+</v>
      </c>
      <c r="D238">
        <v>6</v>
      </c>
      <c r="E238" t="str">
        <f>INDEX(Define!X:X,MATCH(D238,Define!W:W))</f>
        <v>自己強化</v>
      </c>
      <c r="G238">
        <v>1</v>
      </c>
      <c r="H238" t="str">
        <f>INDEX(Define!B:B,MATCH(G238,Define!A:A))</f>
        <v>単体</v>
      </c>
      <c r="I238">
        <v>0</v>
      </c>
      <c r="J238">
        <v>120</v>
      </c>
      <c r="K238">
        <v>4</v>
      </c>
      <c r="L238" t="str">
        <f>INDEX(Define!E:E,MATCH(K238,Define!D:D))</f>
        <v>光</v>
      </c>
      <c r="M238">
        <v>6</v>
      </c>
      <c r="N238" t="str">
        <f>INDEX(Define!H:H,MATCH(M238,Define!G:G))</f>
        <v>強化</v>
      </c>
      <c r="O238">
        <v>4</v>
      </c>
      <c r="P238" t="str">
        <f>INDEX(Define!K:K,MATCH(O238,Define!J:J))</f>
        <v>自身</v>
      </c>
      <c r="Q238">
        <v>4</v>
      </c>
      <c r="R238" t="str">
        <f>INDEX(Define!N:N,MATCH(Q238,Define!M:M))</f>
        <v>自身</v>
      </c>
      <c r="S238">
        <v>1</v>
      </c>
      <c r="T238">
        <v>1</v>
      </c>
      <c r="U238">
        <v>1</v>
      </c>
      <c r="V238" s="5">
        <v>0</v>
      </c>
    </row>
    <row r="239" ht="12" customHeight="1" spans="1:22">
      <c r="A239">
        <v>414070</v>
      </c>
      <c r="B239">
        <v>414070</v>
      </c>
      <c r="C239" t="str">
        <f>INDEX(TextData!B:B,MATCH(B239,TextData!A:A))</f>
        <v>ホーミングクルセイド+</v>
      </c>
      <c r="D239">
        <v>6</v>
      </c>
      <c r="E239" t="str">
        <f>INDEX(Define!X:X,MATCH(D239,Define!W:W))</f>
        <v>自己強化</v>
      </c>
      <c r="G239">
        <v>1</v>
      </c>
      <c r="H239" t="str">
        <f>INDEX(Define!B:B,MATCH(G239,Define!A:A))</f>
        <v>単体</v>
      </c>
      <c r="I239">
        <v>0</v>
      </c>
      <c r="J239">
        <v>120</v>
      </c>
      <c r="K239">
        <v>4</v>
      </c>
      <c r="L239" t="str">
        <f>INDEX(Define!E:E,MATCH(K239,Define!D:D))</f>
        <v>光</v>
      </c>
      <c r="M239">
        <v>6</v>
      </c>
      <c r="N239" t="str">
        <f>INDEX(Define!H:H,MATCH(M239,Define!G:G))</f>
        <v>強化</v>
      </c>
      <c r="O239">
        <v>4</v>
      </c>
      <c r="P239" t="str">
        <f>INDEX(Define!K:K,MATCH(O239,Define!J:J))</f>
        <v>自身</v>
      </c>
      <c r="Q239">
        <v>4</v>
      </c>
      <c r="R239" t="str">
        <f>INDEX(Define!N:N,MATCH(Q239,Define!M:M))</f>
        <v>自身</v>
      </c>
      <c r="S239">
        <v>1</v>
      </c>
      <c r="T239">
        <v>1</v>
      </c>
      <c r="U239">
        <v>1</v>
      </c>
      <c r="V239" s="5">
        <v>0</v>
      </c>
    </row>
    <row r="240" ht="12" customHeight="1" spans="1:22">
      <c r="A240">
        <v>414080</v>
      </c>
      <c r="B240">
        <v>414080</v>
      </c>
      <c r="C240" t="str">
        <f>INDEX(TextData!B:B,MATCH(B240,TextData!A:A))</f>
        <v>クイックヒール+</v>
      </c>
      <c r="D240">
        <v>6</v>
      </c>
      <c r="E240" t="str">
        <f>INDEX(Define!X:X,MATCH(D240,Define!W:W))</f>
        <v>自己強化</v>
      </c>
      <c r="G240">
        <v>1</v>
      </c>
      <c r="H240" t="str">
        <f>INDEX(Define!B:B,MATCH(G240,Define!A:A))</f>
        <v>単体</v>
      </c>
      <c r="I240">
        <v>0</v>
      </c>
      <c r="J240">
        <v>120</v>
      </c>
      <c r="K240">
        <v>4</v>
      </c>
      <c r="L240" t="str">
        <f>INDEX(Define!E:E,MATCH(K240,Define!D:D))</f>
        <v>光</v>
      </c>
      <c r="M240">
        <v>6</v>
      </c>
      <c r="N240" t="str">
        <f>INDEX(Define!H:H,MATCH(M240,Define!G:G))</f>
        <v>強化</v>
      </c>
      <c r="O240">
        <v>4</v>
      </c>
      <c r="P240" t="str">
        <f>INDEX(Define!K:K,MATCH(O240,Define!J:J))</f>
        <v>自身</v>
      </c>
      <c r="Q240">
        <v>4</v>
      </c>
      <c r="R240" t="str">
        <f>INDEX(Define!N:N,MATCH(Q240,Define!M:M))</f>
        <v>自身</v>
      </c>
      <c r="S240">
        <v>1</v>
      </c>
      <c r="T240">
        <v>1</v>
      </c>
      <c r="U240">
        <v>1</v>
      </c>
      <c r="V240" s="5">
        <v>0</v>
      </c>
    </row>
    <row r="241" ht="12" customHeight="1" spans="1:22">
      <c r="A241">
        <v>414090</v>
      </c>
      <c r="B241">
        <v>414090</v>
      </c>
      <c r="C241" t="str">
        <f>INDEX(TextData!B:B,MATCH(B241,TextData!A:A))</f>
        <v>リレイズ+</v>
      </c>
      <c r="D241">
        <v>6</v>
      </c>
      <c r="E241" t="str">
        <f>INDEX(Define!X:X,MATCH(D241,Define!W:W))</f>
        <v>自己強化</v>
      </c>
      <c r="G241">
        <v>1</v>
      </c>
      <c r="H241" t="str">
        <f>INDEX(Define!B:B,MATCH(G241,Define!A:A))</f>
        <v>単体</v>
      </c>
      <c r="I241">
        <v>0</v>
      </c>
      <c r="J241">
        <v>120</v>
      </c>
      <c r="K241">
        <v>4</v>
      </c>
      <c r="L241" t="str">
        <f>INDEX(Define!E:E,MATCH(K241,Define!D:D))</f>
        <v>光</v>
      </c>
      <c r="M241">
        <v>6</v>
      </c>
      <c r="N241" t="str">
        <f>INDEX(Define!H:H,MATCH(M241,Define!G:G))</f>
        <v>強化</v>
      </c>
      <c r="O241">
        <v>4</v>
      </c>
      <c r="P241" t="str">
        <f>INDEX(Define!K:K,MATCH(O241,Define!J:J))</f>
        <v>自身</v>
      </c>
      <c r="Q241">
        <v>4</v>
      </c>
      <c r="R241" t="str">
        <f>INDEX(Define!N:N,MATCH(Q241,Define!M:M))</f>
        <v>自身</v>
      </c>
      <c r="S241">
        <v>1</v>
      </c>
      <c r="T241">
        <v>1</v>
      </c>
      <c r="U241">
        <v>1</v>
      </c>
      <c r="V241" s="5">
        <v>0</v>
      </c>
    </row>
    <row r="242" ht="12" customHeight="1" spans="1:22">
      <c r="A242">
        <v>415010</v>
      </c>
      <c r="B242">
        <v>415010</v>
      </c>
      <c r="C242" t="str">
        <f>INDEX(TextData!B:B,MATCH(B242,TextData!A:A))</f>
        <v>イーグルアイ+</v>
      </c>
      <c r="D242">
        <v>6</v>
      </c>
      <c r="E242" t="str">
        <f>INDEX(Define!X:X,MATCH(D242,Define!W:W))</f>
        <v>自己強化</v>
      </c>
      <c r="G242">
        <v>1</v>
      </c>
      <c r="H242" t="str">
        <f>INDEX(Define!B:B,MATCH(G242,Define!A:A))</f>
        <v>単体</v>
      </c>
      <c r="I242">
        <v>0</v>
      </c>
      <c r="J242">
        <v>110</v>
      </c>
      <c r="K242">
        <v>5</v>
      </c>
      <c r="L242" t="str">
        <f>INDEX(Define!E:E,MATCH(K242,Define!D:D))</f>
        <v>闇</v>
      </c>
      <c r="M242">
        <v>6</v>
      </c>
      <c r="N242" t="str">
        <f>INDEX(Define!H:H,MATCH(M242,Define!G:G))</f>
        <v>強化</v>
      </c>
      <c r="O242">
        <v>4</v>
      </c>
      <c r="P242" t="str">
        <f>INDEX(Define!K:K,MATCH(O242,Define!J:J))</f>
        <v>自身</v>
      </c>
      <c r="Q242">
        <v>4</v>
      </c>
      <c r="R242" t="str">
        <f>INDEX(Define!N:N,MATCH(Q242,Define!M:M))</f>
        <v>自身</v>
      </c>
      <c r="S242">
        <v>1</v>
      </c>
      <c r="T242">
        <v>1</v>
      </c>
      <c r="U242">
        <v>1</v>
      </c>
      <c r="V242" s="5">
        <v>0</v>
      </c>
    </row>
    <row r="243" ht="12" customHeight="1" spans="1:22">
      <c r="A243">
        <v>415020</v>
      </c>
      <c r="B243">
        <v>415020</v>
      </c>
      <c r="C243" t="str">
        <f>INDEX(TextData!B:B,MATCH(B243,TextData!A:A))</f>
        <v>ネヴァーエンド+</v>
      </c>
      <c r="D243">
        <v>6</v>
      </c>
      <c r="E243" t="str">
        <f>INDEX(Define!X:X,MATCH(D243,Define!W:W))</f>
        <v>自己強化</v>
      </c>
      <c r="G243">
        <v>1</v>
      </c>
      <c r="H243" t="str">
        <f>INDEX(Define!B:B,MATCH(G243,Define!A:A))</f>
        <v>単体</v>
      </c>
      <c r="I243">
        <v>0</v>
      </c>
      <c r="J243">
        <v>110</v>
      </c>
      <c r="K243">
        <v>5</v>
      </c>
      <c r="L243" t="str">
        <f>INDEX(Define!E:E,MATCH(K243,Define!D:D))</f>
        <v>闇</v>
      </c>
      <c r="M243">
        <v>6</v>
      </c>
      <c r="N243" t="str">
        <f>INDEX(Define!H:H,MATCH(M243,Define!G:G))</f>
        <v>強化</v>
      </c>
      <c r="O243">
        <v>4</v>
      </c>
      <c r="P243" t="str">
        <f>INDEX(Define!K:K,MATCH(O243,Define!J:J))</f>
        <v>自身</v>
      </c>
      <c r="Q243">
        <v>4</v>
      </c>
      <c r="R243" t="str">
        <f>INDEX(Define!N:N,MATCH(Q243,Define!M:M))</f>
        <v>自身</v>
      </c>
      <c r="S243">
        <v>1</v>
      </c>
      <c r="T243">
        <v>1</v>
      </c>
      <c r="U243">
        <v>1</v>
      </c>
      <c r="V243" s="5">
        <v>0</v>
      </c>
    </row>
    <row r="244" ht="12" customHeight="1" spans="1:22">
      <c r="A244">
        <v>415030</v>
      </c>
      <c r="B244">
        <v>415030</v>
      </c>
      <c r="C244" t="str">
        <f>INDEX(TextData!B:B,MATCH(B244,TextData!A:A))</f>
        <v>グレイブアクト+</v>
      </c>
      <c r="D244">
        <v>6</v>
      </c>
      <c r="E244" t="str">
        <f>INDEX(Define!X:X,MATCH(D244,Define!W:W))</f>
        <v>自己強化</v>
      </c>
      <c r="G244">
        <v>1</v>
      </c>
      <c r="H244" t="str">
        <f>INDEX(Define!B:B,MATCH(G244,Define!A:A))</f>
        <v>単体</v>
      </c>
      <c r="I244">
        <v>0</v>
      </c>
      <c r="J244">
        <v>110</v>
      </c>
      <c r="K244">
        <v>5</v>
      </c>
      <c r="L244" t="str">
        <f>INDEX(Define!E:E,MATCH(K244,Define!D:D))</f>
        <v>闇</v>
      </c>
      <c r="M244">
        <v>6</v>
      </c>
      <c r="N244" t="str">
        <f>INDEX(Define!H:H,MATCH(M244,Define!G:G))</f>
        <v>強化</v>
      </c>
      <c r="O244">
        <v>4</v>
      </c>
      <c r="P244" t="str">
        <f>INDEX(Define!K:K,MATCH(O244,Define!J:J))</f>
        <v>自身</v>
      </c>
      <c r="Q244">
        <v>4</v>
      </c>
      <c r="R244" t="str">
        <f>INDEX(Define!N:N,MATCH(Q244,Define!M:M))</f>
        <v>自身</v>
      </c>
      <c r="S244">
        <v>1</v>
      </c>
      <c r="T244">
        <v>1</v>
      </c>
      <c r="U244">
        <v>1</v>
      </c>
      <c r="V244" s="5">
        <v>0</v>
      </c>
    </row>
    <row r="245" ht="12" customHeight="1" spans="1:22">
      <c r="A245">
        <v>415040</v>
      </c>
      <c r="B245">
        <v>415040</v>
      </c>
      <c r="C245" t="str">
        <f>INDEX(TextData!B:B,MATCH(B245,TextData!A:A))</f>
        <v>スカルグラッジ+</v>
      </c>
      <c r="D245">
        <v>6</v>
      </c>
      <c r="E245" t="str">
        <f>INDEX(Define!X:X,MATCH(D245,Define!W:W))</f>
        <v>自己強化</v>
      </c>
      <c r="G245">
        <v>1</v>
      </c>
      <c r="H245" t="str">
        <f>INDEX(Define!B:B,MATCH(G245,Define!A:A))</f>
        <v>単体</v>
      </c>
      <c r="I245">
        <v>0</v>
      </c>
      <c r="J245">
        <v>110</v>
      </c>
      <c r="K245">
        <v>5</v>
      </c>
      <c r="L245" t="str">
        <f>INDEX(Define!E:E,MATCH(K245,Define!D:D))</f>
        <v>闇</v>
      </c>
      <c r="M245">
        <v>6</v>
      </c>
      <c r="N245" t="str">
        <f>INDEX(Define!H:H,MATCH(M245,Define!G:G))</f>
        <v>強化</v>
      </c>
      <c r="O245">
        <v>4</v>
      </c>
      <c r="P245" t="str">
        <f>INDEX(Define!K:K,MATCH(O245,Define!J:J))</f>
        <v>自身</v>
      </c>
      <c r="Q245">
        <v>4</v>
      </c>
      <c r="R245" t="str">
        <f>INDEX(Define!N:N,MATCH(Q245,Define!M:M))</f>
        <v>自身</v>
      </c>
      <c r="S245">
        <v>1</v>
      </c>
      <c r="T245">
        <v>1</v>
      </c>
      <c r="U245">
        <v>1</v>
      </c>
      <c r="V245" s="5">
        <v>0</v>
      </c>
    </row>
    <row r="246" ht="12" customHeight="1" spans="1:22">
      <c r="A246">
        <v>415050</v>
      </c>
      <c r="B246">
        <v>415050</v>
      </c>
      <c r="C246" t="str">
        <f>INDEX(TextData!B:B,MATCH(B246,TextData!A:A))</f>
        <v>ネガティブドレイン+</v>
      </c>
      <c r="D246">
        <v>6</v>
      </c>
      <c r="E246" t="str">
        <f>INDEX(Define!X:X,MATCH(D246,Define!W:W))</f>
        <v>自己強化</v>
      </c>
      <c r="G246">
        <v>1</v>
      </c>
      <c r="H246" t="str">
        <f>INDEX(Define!B:B,MATCH(G246,Define!A:A))</f>
        <v>単体</v>
      </c>
      <c r="I246">
        <v>0</v>
      </c>
      <c r="J246">
        <v>110</v>
      </c>
      <c r="K246">
        <v>5</v>
      </c>
      <c r="L246" t="str">
        <f>INDEX(Define!E:E,MATCH(K246,Define!D:D))</f>
        <v>闇</v>
      </c>
      <c r="M246">
        <v>6</v>
      </c>
      <c r="N246" t="str">
        <f>INDEX(Define!H:H,MATCH(M246,Define!G:G))</f>
        <v>強化</v>
      </c>
      <c r="O246">
        <v>4</v>
      </c>
      <c r="P246" t="str">
        <f>INDEX(Define!K:K,MATCH(O246,Define!J:J))</f>
        <v>自身</v>
      </c>
      <c r="Q246">
        <v>4</v>
      </c>
      <c r="R246" t="str">
        <f>INDEX(Define!N:N,MATCH(Q246,Define!M:M))</f>
        <v>自身</v>
      </c>
      <c r="S246">
        <v>1</v>
      </c>
      <c r="T246">
        <v>1</v>
      </c>
      <c r="U246">
        <v>1</v>
      </c>
      <c r="V246" s="5">
        <v>0</v>
      </c>
    </row>
    <row r="247" ht="12" customHeight="1" spans="1:22">
      <c r="A247">
        <v>415060</v>
      </c>
      <c r="B247">
        <v>415060</v>
      </c>
      <c r="C247" t="str">
        <f>INDEX(TextData!B:B,MATCH(B247,TextData!A:A))</f>
        <v>アンデッドペイン+</v>
      </c>
      <c r="D247">
        <v>6</v>
      </c>
      <c r="E247" t="str">
        <f>INDEX(Define!X:X,MATCH(D247,Define!W:W))</f>
        <v>自己強化</v>
      </c>
      <c r="G247">
        <v>1</v>
      </c>
      <c r="H247" t="str">
        <f>INDEX(Define!B:B,MATCH(G247,Define!A:A))</f>
        <v>単体</v>
      </c>
      <c r="I247">
        <v>0</v>
      </c>
      <c r="J247">
        <v>120</v>
      </c>
      <c r="K247">
        <v>5</v>
      </c>
      <c r="L247" t="str">
        <f>INDEX(Define!E:E,MATCH(K247,Define!D:D))</f>
        <v>闇</v>
      </c>
      <c r="M247">
        <v>6</v>
      </c>
      <c r="N247" t="str">
        <f>INDEX(Define!H:H,MATCH(M247,Define!G:G))</f>
        <v>強化</v>
      </c>
      <c r="O247">
        <v>4</v>
      </c>
      <c r="P247" t="str">
        <f>INDEX(Define!K:K,MATCH(O247,Define!J:J))</f>
        <v>自身</v>
      </c>
      <c r="Q247">
        <v>4</v>
      </c>
      <c r="R247" t="str">
        <f>INDEX(Define!N:N,MATCH(Q247,Define!M:M))</f>
        <v>自身</v>
      </c>
      <c r="S247">
        <v>1</v>
      </c>
      <c r="T247">
        <v>1</v>
      </c>
      <c r="U247">
        <v>1</v>
      </c>
      <c r="V247" s="5">
        <v>0</v>
      </c>
    </row>
    <row r="248" ht="12" customHeight="1" spans="1:22">
      <c r="A248">
        <v>415070</v>
      </c>
      <c r="B248">
        <v>415070</v>
      </c>
      <c r="C248" t="str">
        <f>INDEX(TextData!B:B,MATCH(B248,TextData!A:A))</f>
        <v>ジャックポッド+</v>
      </c>
      <c r="D248">
        <v>6</v>
      </c>
      <c r="E248" t="str">
        <f>INDEX(Define!X:X,MATCH(D248,Define!W:W))</f>
        <v>自己強化</v>
      </c>
      <c r="G248">
        <v>1</v>
      </c>
      <c r="H248" t="str">
        <f>INDEX(Define!B:B,MATCH(G248,Define!A:A))</f>
        <v>単体</v>
      </c>
      <c r="I248">
        <v>0</v>
      </c>
      <c r="J248">
        <v>120</v>
      </c>
      <c r="K248">
        <v>5</v>
      </c>
      <c r="L248" t="str">
        <f>INDEX(Define!E:E,MATCH(K248,Define!D:D))</f>
        <v>闇</v>
      </c>
      <c r="M248">
        <v>6</v>
      </c>
      <c r="N248" t="str">
        <f>INDEX(Define!H:H,MATCH(M248,Define!G:G))</f>
        <v>強化</v>
      </c>
      <c r="O248">
        <v>4</v>
      </c>
      <c r="P248" t="str">
        <f>INDEX(Define!K:K,MATCH(O248,Define!J:J))</f>
        <v>自身</v>
      </c>
      <c r="Q248">
        <v>4</v>
      </c>
      <c r="R248" t="str">
        <f>INDEX(Define!N:N,MATCH(Q248,Define!M:M))</f>
        <v>自身</v>
      </c>
      <c r="S248">
        <v>1</v>
      </c>
      <c r="T248">
        <v>1</v>
      </c>
      <c r="U248">
        <v>1</v>
      </c>
      <c r="V248" s="5">
        <v>0</v>
      </c>
    </row>
    <row r="249" ht="12" customHeight="1" spans="1:22">
      <c r="A249">
        <v>415080</v>
      </c>
      <c r="B249">
        <v>415080</v>
      </c>
      <c r="C249" t="str">
        <f>INDEX(TextData!B:B,MATCH(B249,TextData!A:A))</f>
        <v>ヒールハント+</v>
      </c>
      <c r="D249">
        <v>6</v>
      </c>
      <c r="E249" t="str">
        <f>INDEX(Define!X:X,MATCH(D249,Define!W:W))</f>
        <v>自己強化</v>
      </c>
      <c r="G249">
        <v>1</v>
      </c>
      <c r="H249" t="str">
        <f>INDEX(Define!B:B,MATCH(G249,Define!A:A))</f>
        <v>単体</v>
      </c>
      <c r="I249">
        <v>0</v>
      </c>
      <c r="J249">
        <v>120</v>
      </c>
      <c r="K249">
        <v>5</v>
      </c>
      <c r="L249" t="str">
        <f>INDEX(Define!E:E,MATCH(K249,Define!D:D))</f>
        <v>闇</v>
      </c>
      <c r="M249">
        <v>6</v>
      </c>
      <c r="N249" t="str">
        <f>INDEX(Define!H:H,MATCH(M249,Define!G:G))</f>
        <v>強化</v>
      </c>
      <c r="O249">
        <v>4</v>
      </c>
      <c r="P249" t="str">
        <f>INDEX(Define!K:K,MATCH(O249,Define!J:J))</f>
        <v>自身</v>
      </c>
      <c r="Q249">
        <v>4</v>
      </c>
      <c r="R249" t="str">
        <f>INDEX(Define!N:N,MATCH(Q249,Define!M:M))</f>
        <v>自身</v>
      </c>
      <c r="S249">
        <v>1</v>
      </c>
      <c r="T249">
        <v>1</v>
      </c>
      <c r="U249">
        <v>1</v>
      </c>
      <c r="V249" s="5">
        <v>0</v>
      </c>
    </row>
    <row r="250" ht="12" customHeight="1" spans="1:22">
      <c r="A250">
        <v>415090</v>
      </c>
      <c r="B250">
        <v>415090</v>
      </c>
      <c r="C250" t="str">
        <f>INDEX(TextData!B:B,MATCH(B250,TextData!A:A))</f>
        <v>クイックカース+</v>
      </c>
      <c r="D250">
        <v>6</v>
      </c>
      <c r="E250" t="str">
        <f>INDEX(Define!X:X,MATCH(D250,Define!W:W))</f>
        <v>自己強化</v>
      </c>
      <c r="G250">
        <v>1</v>
      </c>
      <c r="H250" t="str">
        <f>INDEX(Define!B:B,MATCH(G250,Define!A:A))</f>
        <v>単体</v>
      </c>
      <c r="I250">
        <v>0</v>
      </c>
      <c r="J250">
        <v>120</v>
      </c>
      <c r="K250">
        <v>5</v>
      </c>
      <c r="L250" t="str">
        <f>INDEX(Define!E:E,MATCH(K250,Define!D:D))</f>
        <v>闇</v>
      </c>
      <c r="M250">
        <v>6</v>
      </c>
      <c r="N250" t="str">
        <f>INDEX(Define!H:H,MATCH(M250,Define!G:G))</f>
        <v>強化</v>
      </c>
      <c r="O250">
        <v>4</v>
      </c>
      <c r="P250" t="str">
        <f>INDEX(Define!K:K,MATCH(O250,Define!J:J))</f>
        <v>自身</v>
      </c>
      <c r="Q250">
        <v>4</v>
      </c>
      <c r="R250" t="str">
        <f>INDEX(Define!N:N,MATCH(Q250,Define!M:M))</f>
        <v>自身</v>
      </c>
      <c r="S250">
        <v>1</v>
      </c>
      <c r="T250">
        <v>1</v>
      </c>
      <c r="U250">
        <v>1</v>
      </c>
      <c r="V250" s="5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8"/>
  <sheetViews>
    <sheetView tabSelected="1" topLeftCell="A36" workbookViewId="0">
      <selection activeCell="E47" sqref="E47"/>
    </sheetView>
  </sheetViews>
  <sheetFormatPr defaultColWidth="8.72727272727273" defaultRowHeight="13"/>
  <cols>
    <col min="2" max="2" width="20" customWidth="1"/>
    <col min="3" max="3" width="12.3636363636364" customWidth="1"/>
    <col min="4" max="4" width="55.3636363636364" customWidth="1"/>
  </cols>
  <sheetData>
    <row r="1" spans="1:8">
      <c r="A1" t="s">
        <v>18</v>
      </c>
      <c r="B1" t="s">
        <v>4</v>
      </c>
      <c r="C1" t="s">
        <v>19</v>
      </c>
      <c r="D1" t="s">
        <v>4</v>
      </c>
      <c r="E1" t="s">
        <v>20</v>
      </c>
      <c r="F1" t="s">
        <v>21</v>
      </c>
      <c r="G1" t="s">
        <v>22</v>
      </c>
      <c r="H1" t="s">
        <v>23</v>
      </c>
    </row>
    <row r="2" spans="1:8">
      <c r="A2">
        <v>1</v>
      </c>
      <c r="B2" t="str">
        <f>INDEX(TextData!B:B,MATCH(A2,TextData!A:A))</f>
        <v>はずす</v>
      </c>
      <c r="C2">
        <v>1010</v>
      </c>
      <c r="D2" t="str">
        <f>INDEX(Define!Q:Q,MATCH(C2,Define!P:P))</f>
        <v>Hpダメージ</v>
      </c>
      <c r="E2">
        <v>100</v>
      </c>
      <c r="F2">
        <v>0</v>
      </c>
      <c r="G2">
        <v>0</v>
      </c>
      <c r="H2">
        <v>100</v>
      </c>
    </row>
    <row r="3" spans="1:8">
      <c r="A3">
        <v>2</v>
      </c>
      <c r="B3" t="str">
        <f>INDEX(TextData!B:B,MATCH(A3,TextData!A:A))</f>
        <v>はずす</v>
      </c>
      <c r="C3">
        <v>1010</v>
      </c>
      <c r="D3" t="str">
        <f>INDEX(Define!Q:Q,MATCH(C3,Define!P:P))</f>
        <v>Hpダメージ</v>
      </c>
      <c r="E3">
        <v>50</v>
      </c>
      <c r="F3">
        <v>0</v>
      </c>
      <c r="G3">
        <v>0</v>
      </c>
      <c r="H3">
        <v>100</v>
      </c>
    </row>
    <row r="4" spans="1:9">
      <c r="A4">
        <v>11</v>
      </c>
      <c r="B4" t="str">
        <f>INDEX(TextData!B:B,MATCH(A4,TextData!A:A))</f>
        <v>覚醒</v>
      </c>
      <c r="C4">
        <v>3010</v>
      </c>
      <c r="D4" t="str">
        <f>INDEX(Define!Q:Q,MATCH(C4,Define!P:P))</f>
        <v>ステート付与</v>
      </c>
      <c r="E4">
        <v>1010</v>
      </c>
      <c r="F4">
        <v>0</v>
      </c>
      <c r="G4">
        <v>10</v>
      </c>
      <c r="H4">
        <v>100</v>
      </c>
      <c r="I4" t="str">
        <f>INDEX([1]TextData!B:B,MATCH(E4,[1]TextData!A:A))</f>
        <v>覚醒</v>
      </c>
    </row>
    <row r="5" spans="1:9">
      <c r="A5">
        <v>21</v>
      </c>
      <c r="B5" t="str">
        <f>INDEX(TextData!B:B,MATCH(A5,TextData!A:A))</f>
        <v>覚醒解除</v>
      </c>
      <c r="C5">
        <v>3020</v>
      </c>
      <c r="D5" t="str">
        <f>INDEX(Define!Q:Q,MATCH(C5,Define!P:P))</f>
        <v>ステート解除</v>
      </c>
      <c r="E5">
        <v>1010</v>
      </c>
      <c r="F5">
        <v>0</v>
      </c>
      <c r="G5">
        <v>0</v>
      </c>
      <c r="H5">
        <v>100</v>
      </c>
      <c r="I5" t="str">
        <f>INDEX([1]TextData!B:B,MATCH(E5,[1]TextData!A:A))</f>
        <v>覚醒</v>
      </c>
    </row>
    <row r="6" spans="1:8">
      <c r="A6">
        <v>31</v>
      </c>
      <c r="B6" t="str">
        <f>INDEX(TextData!B:B,MATCH(A6,TextData!A:A))</f>
        <v>拘束制御</v>
      </c>
      <c r="C6">
        <v>1050</v>
      </c>
      <c r="D6" t="str">
        <f>INDEX(Define!Q:Q,MATCH(C6,Define!P:P))</f>
        <v>効果無視Hpダメージ</v>
      </c>
      <c r="E6">
        <v>100</v>
      </c>
      <c r="F6">
        <v>0</v>
      </c>
      <c r="G6">
        <v>0</v>
      </c>
      <c r="H6">
        <v>100</v>
      </c>
    </row>
    <row r="7" spans="1:9">
      <c r="A7">
        <v>31</v>
      </c>
      <c r="B7" t="str">
        <f>INDEX(TextData!B:B,MATCH(A7,TextData!A:A))</f>
        <v>拘束制御</v>
      </c>
      <c r="C7">
        <v>3020</v>
      </c>
      <c r="D7" t="str">
        <f>INDEX(Define!Q:Q,MATCH(C7,Define!P:P))</f>
        <v>ステート解除</v>
      </c>
      <c r="E7">
        <v>2020</v>
      </c>
      <c r="F7">
        <v>0</v>
      </c>
      <c r="G7">
        <v>0</v>
      </c>
      <c r="H7">
        <v>100</v>
      </c>
      <c r="I7" t="str">
        <f>INDEX([1]TextData!B:B,MATCH(E7,[1]TextData!A:A))</f>
        <v>毒</v>
      </c>
    </row>
    <row r="8" spans="1:9">
      <c r="A8">
        <v>32</v>
      </c>
      <c r="B8" t="str">
        <f>INDEX(TextData!B:B,MATCH(A8,TextData!A:A))</f>
        <v>拘束ダメージ解除</v>
      </c>
      <c r="C8">
        <v>3020</v>
      </c>
      <c r="D8" t="str">
        <f>INDEX(Define!Q:Q,MATCH(C8,Define!P:P))</f>
        <v>ステート解除</v>
      </c>
      <c r="E8">
        <v>2021</v>
      </c>
      <c r="F8">
        <v>0</v>
      </c>
      <c r="G8">
        <v>0</v>
      </c>
      <c r="H8">
        <v>100</v>
      </c>
      <c r="I8" t="str">
        <f>INDEX([1]TextData!B:B,MATCH(E8,[1]TextData!A:A))</f>
        <v>毒</v>
      </c>
    </row>
    <row r="9" spans="1:8">
      <c r="A9">
        <v>33</v>
      </c>
      <c r="B9" t="str">
        <f>INDEX(TextData!B:B,MATCH(A9,TextData!A:A))</f>
        <v>居合</v>
      </c>
      <c r="C9">
        <v>1010</v>
      </c>
      <c r="D9" t="str">
        <f>INDEX(Define!Q:Q,MATCH(C9,Define!P:P))</f>
        <v>Hpダメージ</v>
      </c>
      <c r="E9">
        <v>150</v>
      </c>
      <c r="F9">
        <v>0</v>
      </c>
      <c r="G9">
        <v>0</v>
      </c>
      <c r="H9">
        <v>100</v>
      </c>
    </row>
    <row r="10" spans="1:8">
      <c r="A10">
        <v>33</v>
      </c>
      <c r="B10" t="str">
        <f>INDEX(TextData!B:B,MATCH(A10,TextData!A:A))</f>
        <v>居合</v>
      </c>
      <c r="C10">
        <v>5030</v>
      </c>
      <c r="D10" t="str">
        <f>INDEX(Define!Q:Q,MATCH(C10,Define!P:P))</f>
        <v>再行動する</v>
      </c>
      <c r="E10">
        <v>0</v>
      </c>
      <c r="F10">
        <v>0</v>
      </c>
      <c r="G10">
        <v>0</v>
      </c>
      <c r="H10">
        <v>100</v>
      </c>
    </row>
    <row r="11" spans="1:8">
      <c r="A11">
        <v>1010</v>
      </c>
      <c r="B11" t="str">
        <f>INDEX(TextData!B:B,MATCH(A11,TextData!A:A))</f>
        <v>ファイアボール</v>
      </c>
      <c r="C11">
        <v>1010</v>
      </c>
      <c r="D11" t="str">
        <f>INDEX(Define!Q:Q,MATCH(C11,Define!P:P))</f>
        <v>Hpダメージ</v>
      </c>
      <c r="E11">
        <v>150</v>
      </c>
      <c r="F11">
        <v>0</v>
      </c>
      <c r="G11">
        <v>0</v>
      </c>
      <c r="H11">
        <v>100</v>
      </c>
    </row>
    <row r="12" spans="1:8">
      <c r="A12">
        <v>1020</v>
      </c>
      <c r="B12" t="str">
        <f>INDEX(TextData!B:B,MATCH(A12,TextData!A:A))</f>
        <v>バーンストーム</v>
      </c>
      <c r="C12">
        <v>1010</v>
      </c>
      <c r="D12" t="str">
        <f>INDEX(Define!Q:Q,MATCH(C12,Define!P:P))</f>
        <v>Hpダメージ</v>
      </c>
      <c r="E12">
        <v>150</v>
      </c>
      <c r="F12">
        <v>0</v>
      </c>
      <c r="G12">
        <v>0</v>
      </c>
      <c r="H12">
        <v>100</v>
      </c>
    </row>
    <row r="13" spans="1:8">
      <c r="A13">
        <v>1030</v>
      </c>
      <c r="B13" t="str">
        <f>INDEX(TextData!B:B,MATCH(A13,TextData!A:A))</f>
        <v>ヒートスタンプ</v>
      </c>
      <c r="C13">
        <v>4020</v>
      </c>
      <c r="D13" t="str">
        <f>INDEX(Define!Q:Q,MATCH(C13,Define!P:P))</f>
        <v>Ct回復</v>
      </c>
      <c r="E13">
        <v>1</v>
      </c>
      <c r="F13">
        <v>0</v>
      </c>
      <c r="G13">
        <v>0</v>
      </c>
      <c r="H13">
        <v>100</v>
      </c>
    </row>
    <row r="14" spans="1:9">
      <c r="A14">
        <v>1040</v>
      </c>
      <c r="B14" t="str">
        <f>INDEX(TextData!B:B,MATCH(A14,TextData!A:A))</f>
        <v>ソードアダプト</v>
      </c>
      <c r="C14">
        <v>3010</v>
      </c>
      <c r="D14" t="str">
        <f>INDEX(Define!Q:Q,MATCH(C14,Define!P:P))</f>
        <v>ステート付与</v>
      </c>
      <c r="E14">
        <v>2290</v>
      </c>
      <c r="F14">
        <v>999</v>
      </c>
      <c r="G14">
        <v>10</v>
      </c>
      <c r="H14">
        <v>100</v>
      </c>
      <c r="I14" t="str">
        <f>INDEX([1]TextData!B:B,MATCH(E14,[1]TextData!A:A))</f>
        <v>ダメージ威力アップ</v>
      </c>
    </row>
    <row r="15" spans="1:8">
      <c r="A15">
        <v>1050</v>
      </c>
      <c r="B15" t="str">
        <f>INDEX(TextData!B:B,MATCH(A15,TextData!A:A))</f>
        <v>フレイムレイン</v>
      </c>
      <c r="C15">
        <v>1010</v>
      </c>
      <c r="D15" t="str">
        <f>INDEX(Define!Q:Q,MATCH(C15,Define!P:P))</f>
        <v>Hpダメージ</v>
      </c>
      <c r="E15">
        <v>40</v>
      </c>
      <c r="F15">
        <v>0</v>
      </c>
      <c r="G15">
        <v>0</v>
      </c>
      <c r="H15">
        <v>100</v>
      </c>
    </row>
    <row r="16" spans="1:8">
      <c r="A16">
        <v>1060</v>
      </c>
      <c r="B16" t="str">
        <f>INDEX(TextData!B:B,MATCH(A16,TextData!A:A))</f>
        <v>イクスティンクション</v>
      </c>
      <c r="C16">
        <v>1010</v>
      </c>
      <c r="D16" t="str">
        <f>INDEX(Define!Q:Q,MATCH(C16,Define!P:P))</f>
        <v>Hpダメージ</v>
      </c>
      <c r="E16">
        <v>300</v>
      </c>
      <c r="F16">
        <v>0</v>
      </c>
      <c r="G16">
        <v>0</v>
      </c>
      <c r="H16">
        <v>100</v>
      </c>
    </row>
    <row r="17" spans="1:8">
      <c r="A17">
        <v>1070</v>
      </c>
      <c r="B17" t="str">
        <f>INDEX(TextData!B:B,MATCH(A17,TextData!A:A))</f>
        <v>バーニングソウル</v>
      </c>
      <c r="C17">
        <v>3060</v>
      </c>
      <c r="D17" t="str">
        <f>INDEX(Define!Q:Q,MATCH(C17,Define!P:P))</f>
        <v>デバフステート解除</v>
      </c>
      <c r="E17">
        <v>0</v>
      </c>
      <c r="F17">
        <v>0</v>
      </c>
      <c r="G17">
        <v>0</v>
      </c>
      <c r="H17">
        <v>100</v>
      </c>
    </row>
    <row r="18" spans="1:9">
      <c r="A18">
        <v>1080</v>
      </c>
      <c r="B18" t="str">
        <f>INDEX(TextData!B:B,MATCH(A18,TextData!A:A))</f>
        <v>レイジングバウンサー</v>
      </c>
      <c r="C18">
        <v>3040</v>
      </c>
      <c r="D18" t="str">
        <f>INDEX(Define!Q:Q,MATCH(C18,Define!P:P))</f>
        <v>次の行動まで有効なステート付与</v>
      </c>
      <c r="E18">
        <v>1070</v>
      </c>
      <c r="F18">
        <v>2</v>
      </c>
      <c r="G18">
        <v>30</v>
      </c>
      <c r="H18">
        <v>100</v>
      </c>
      <c r="I18" t="str">
        <f>INDEX([1]TextData!B:B,MATCH(E18,[1]TextData!A:A))</f>
        <v>会心率アップ</v>
      </c>
    </row>
    <row r="19" spans="1:8">
      <c r="A19">
        <v>1080</v>
      </c>
      <c r="B19" t="str">
        <f>INDEX(TextData!B:B,MATCH(A19,TextData!A:A))</f>
        <v>レイジングバウンサー</v>
      </c>
      <c r="C19">
        <v>5030</v>
      </c>
      <c r="D19" t="str">
        <f>INDEX(Define!Q:Q,MATCH(C19,Define!P:P))</f>
        <v>再行動する</v>
      </c>
      <c r="E19">
        <v>0</v>
      </c>
      <c r="F19">
        <v>0</v>
      </c>
      <c r="G19">
        <v>0</v>
      </c>
      <c r="H19">
        <v>100</v>
      </c>
    </row>
    <row r="20" spans="1:8">
      <c r="A20">
        <v>2010</v>
      </c>
      <c r="B20" t="str">
        <f>INDEX(TextData!B:B,MATCH(A20,TextData!A:A))</f>
        <v>ディスチャージ</v>
      </c>
      <c r="C20">
        <v>1010</v>
      </c>
      <c r="D20" t="str">
        <f>INDEX(Define!Q:Q,MATCH(C20,Define!P:P))</f>
        <v>Hpダメージ</v>
      </c>
      <c r="E20">
        <v>150</v>
      </c>
      <c r="F20">
        <v>0</v>
      </c>
      <c r="G20">
        <v>0</v>
      </c>
      <c r="H20">
        <v>100</v>
      </c>
    </row>
    <row r="21" spans="1:9">
      <c r="A21">
        <v>2020</v>
      </c>
      <c r="B21" t="str">
        <f>INDEX(TextData!B:B,MATCH(A21,TextData!A:A))</f>
        <v>イベイドコード</v>
      </c>
      <c r="C21">
        <v>3010</v>
      </c>
      <c r="D21" t="str">
        <f>INDEX(Define!Q:Q,MATCH(C21,Define!P:P))</f>
        <v>ステート付与</v>
      </c>
      <c r="E21">
        <v>1090</v>
      </c>
      <c r="F21">
        <v>999</v>
      </c>
      <c r="G21">
        <v>15</v>
      </c>
      <c r="H21">
        <v>100</v>
      </c>
      <c r="I21" t="str">
        <f>INDEX([1]TextData!B:B,MATCH(E21,[1]TextData!A:A))</f>
        <v>回避アップ</v>
      </c>
    </row>
    <row r="22" spans="1:8">
      <c r="A22">
        <v>2030</v>
      </c>
      <c r="B22" t="str">
        <f>INDEX(TextData!B:B,MATCH(A22,TextData!A:A))</f>
        <v>ショックインパルス</v>
      </c>
      <c r="C22">
        <v>1010</v>
      </c>
      <c r="D22" t="str">
        <f>INDEX(Define!Q:Q,MATCH(C22,Define!P:P))</f>
        <v>Hpダメージ</v>
      </c>
      <c r="E22">
        <v>150</v>
      </c>
      <c r="F22">
        <v>0</v>
      </c>
      <c r="G22">
        <v>0</v>
      </c>
      <c r="H22">
        <v>100</v>
      </c>
    </row>
    <row r="23" spans="1:9">
      <c r="A23">
        <v>2030</v>
      </c>
      <c r="B23" t="str">
        <f>INDEX(TextData!B:B,MATCH(A23,TextData!A:A))</f>
        <v>ショックインパルス</v>
      </c>
      <c r="C23">
        <v>3010</v>
      </c>
      <c r="D23" t="str">
        <f>INDEX(Define!Q:Q,MATCH(C23,Define!P:P))</f>
        <v>ステート付与</v>
      </c>
      <c r="E23">
        <v>2150</v>
      </c>
      <c r="F23">
        <v>100</v>
      </c>
      <c r="G23">
        <v>0</v>
      </c>
      <c r="H23">
        <v>100</v>
      </c>
      <c r="I23" t="str">
        <f>INDEX([1]TextData!B:B,MATCH(E23,[1]TextData!A:A))</f>
        <v>スタン</v>
      </c>
    </row>
    <row r="24" spans="1:8">
      <c r="A24">
        <v>2040</v>
      </c>
      <c r="B24" t="str">
        <f>INDEX(TextData!B:B,MATCH(A24,TextData!A:A))</f>
        <v>トラストチェイン</v>
      </c>
      <c r="C24">
        <v>5020</v>
      </c>
      <c r="D24" t="str">
        <f>INDEX(Define!Q:Q,MATCH(C24,Define!P:P))</f>
        <v>Ap回復</v>
      </c>
      <c r="E24">
        <v>400</v>
      </c>
      <c r="F24">
        <v>0</v>
      </c>
      <c r="G24">
        <v>0</v>
      </c>
      <c r="H24">
        <v>100</v>
      </c>
    </row>
    <row r="25" spans="1:8">
      <c r="A25">
        <v>2050</v>
      </c>
      <c r="B25" t="str">
        <f>INDEX(TextData!B:B,MATCH(A25,TextData!A:A))</f>
        <v>スペルバニシング</v>
      </c>
      <c r="C25">
        <v>1010</v>
      </c>
      <c r="D25" t="str">
        <f>INDEX(Define!Q:Q,MATCH(C25,Define!P:P))</f>
        <v>Hpダメージ</v>
      </c>
      <c r="E25">
        <v>150</v>
      </c>
      <c r="F25">
        <v>0</v>
      </c>
      <c r="G25">
        <v>0</v>
      </c>
      <c r="H25">
        <v>100</v>
      </c>
    </row>
    <row r="26" ht="12" customHeight="1" spans="1:9">
      <c r="A26">
        <v>2050</v>
      </c>
      <c r="B26" t="str">
        <f>INDEX(TextData!B:B,MATCH(A26,TextData!A:A))</f>
        <v>スペルバニシング</v>
      </c>
      <c r="C26">
        <v>3010</v>
      </c>
      <c r="D26" t="str">
        <f>INDEX(Define!Q:Q,MATCH(C26,Define!P:P))</f>
        <v>ステート付与</v>
      </c>
      <c r="E26">
        <v>2320</v>
      </c>
      <c r="F26">
        <v>0</v>
      </c>
      <c r="G26">
        <v>0</v>
      </c>
      <c r="H26">
        <v>100</v>
      </c>
      <c r="I26" t="str">
        <f>INDEX([1]TextData!B:B,MATCH(E26,[1]TextData!A:A))</f>
        <v>バフ解除</v>
      </c>
    </row>
    <row r="27" spans="1:8">
      <c r="A27">
        <v>2060</v>
      </c>
      <c r="B27" t="str">
        <f>INDEX(TextData!B:B,MATCH(A27,TextData!A:A))</f>
        <v>アーテニーストライク</v>
      </c>
      <c r="C27">
        <v>1010</v>
      </c>
      <c r="D27" t="str">
        <f>INDEX(Define!Q:Q,MATCH(C27,Define!P:P))</f>
        <v>Hpダメージ</v>
      </c>
      <c r="E27">
        <v>150</v>
      </c>
      <c r="F27">
        <v>0</v>
      </c>
      <c r="G27">
        <v>0</v>
      </c>
      <c r="H27">
        <v>100</v>
      </c>
    </row>
    <row r="28" spans="1:8">
      <c r="A28">
        <v>2060</v>
      </c>
      <c r="B28" t="str">
        <f>INDEX(TextData!B:B,MATCH(A28,TextData!A:A))</f>
        <v>アーテニーストライク</v>
      </c>
      <c r="C28">
        <v>11010</v>
      </c>
      <c r="D28" t="str">
        <f>INDEX(Define!Q:Q,MATCH(C28,Define!P:P))</f>
        <v>命中判定しない</v>
      </c>
      <c r="E28">
        <v>0</v>
      </c>
      <c r="F28">
        <v>0</v>
      </c>
      <c r="G28">
        <v>0</v>
      </c>
      <c r="H28">
        <v>100</v>
      </c>
    </row>
    <row r="29" spans="1:8">
      <c r="A29">
        <v>2060</v>
      </c>
      <c r="B29" t="str">
        <f>INDEX(TextData!B:B,MATCH(A29,TextData!A:A))</f>
        <v>アーテニーストライク</v>
      </c>
      <c r="C29">
        <v>7020</v>
      </c>
      <c r="D29" t="str">
        <f>INDEX(Define!Q:Q,MATCH(C29,Define!P:P))</f>
        <v>行動後条件付きスキル</v>
      </c>
      <c r="E29">
        <v>2061</v>
      </c>
      <c r="F29">
        <v>0</v>
      </c>
      <c r="G29">
        <v>0</v>
      </c>
      <c r="H29">
        <v>100</v>
      </c>
    </row>
    <row r="30" spans="1:8">
      <c r="A30">
        <v>2060</v>
      </c>
      <c r="B30" t="str">
        <f>INDEX(TextData!B:B,MATCH(A30,TextData!A:A))</f>
        <v>アーテニーストライク</v>
      </c>
      <c r="C30">
        <v>5011</v>
      </c>
      <c r="D30" t="str">
        <f>INDEX(Define!Q:Q,MATCH(C30,Define!P:P))</f>
        <v>行動後ApがParam1割</v>
      </c>
      <c r="E30">
        <v>50</v>
      </c>
      <c r="F30">
        <v>0</v>
      </c>
      <c r="G30">
        <v>0</v>
      </c>
      <c r="H30">
        <v>100</v>
      </c>
    </row>
    <row r="31" spans="1:8">
      <c r="A31">
        <v>2061</v>
      </c>
      <c r="B31" t="str">
        <f>INDEX(TextData!B:B,MATCH(A31,TextData!A:A))</f>
        <v>アーテニーストライク</v>
      </c>
      <c r="C31">
        <v>4020</v>
      </c>
      <c r="D31" t="str">
        <f>INDEX(Define!Q:Q,MATCH(C31,Define!P:P))</f>
        <v>Ct回復</v>
      </c>
      <c r="E31">
        <v>2</v>
      </c>
      <c r="F31">
        <v>0</v>
      </c>
      <c r="G31">
        <v>0</v>
      </c>
      <c r="H31">
        <v>100</v>
      </c>
    </row>
    <row r="32" spans="1:9">
      <c r="A32">
        <v>2070</v>
      </c>
      <c r="B32" t="str">
        <f>INDEX(TextData!B:B,MATCH(A32,TextData!A:A))</f>
        <v>コンセントレイト</v>
      </c>
      <c r="C32">
        <v>3040</v>
      </c>
      <c r="D32" t="str">
        <f>INDEX(Define!Q:Q,MATCH(C32,Define!P:P))</f>
        <v>次の行動まで有効なステート付与</v>
      </c>
      <c r="E32">
        <v>1080</v>
      </c>
      <c r="F32">
        <v>1</v>
      </c>
      <c r="G32">
        <v>25</v>
      </c>
      <c r="H32">
        <v>100</v>
      </c>
      <c r="I32" t="str">
        <f>INDEX([1]TextData!B:B,MATCH(E32,[1]TextData!A:A))</f>
        <v>命中アップ</v>
      </c>
    </row>
    <row r="33" spans="1:9">
      <c r="A33">
        <v>2070</v>
      </c>
      <c r="B33" t="str">
        <f>INDEX(TextData!B:B,MATCH(A33,TextData!A:A))</f>
        <v>コンセントレイト</v>
      </c>
      <c r="C33">
        <v>3040</v>
      </c>
      <c r="D33" t="str">
        <f>INDEX(Define!Q:Q,MATCH(C33,Define!P:P))</f>
        <v>次の行動まで有効なステート付与</v>
      </c>
      <c r="E33">
        <v>1090</v>
      </c>
      <c r="F33">
        <v>1</v>
      </c>
      <c r="G33">
        <v>25</v>
      </c>
      <c r="H33">
        <v>100</v>
      </c>
      <c r="I33" t="str">
        <f>INDEX([1]TextData!B:B,MATCH(E33,[1]TextData!A:A))</f>
        <v>回避アップ</v>
      </c>
    </row>
    <row r="34" spans="1:8">
      <c r="A34">
        <v>2070</v>
      </c>
      <c r="B34" t="str">
        <f>INDEX(TextData!B:B,MATCH(A34,TextData!A:A))</f>
        <v>コンセントレイト</v>
      </c>
      <c r="C34">
        <v>5030</v>
      </c>
      <c r="D34" t="str">
        <f>INDEX(Define!Q:Q,MATCH(C34,Define!P:P))</f>
        <v>再行動する</v>
      </c>
      <c r="E34">
        <v>0</v>
      </c>
      <c r="F34">
        <v>0</v>
      </c>
      <c r="G34">
        <v>0</v>
      </c>
      <c r="H34">
        <v>100</v>
      </c>
    </row>
    <row r="35" spans="1:8">
      <c r="A35">
        <v>2080</v>
      </c>
      <c r="B35" t="str">
        <f>INDEX(TextData!B:B,MATCH(A35,TextData!A:A))</f>
        <v>ディレイマジック</v>
      </c>
      <c r="C35">
        <v>1010</v>
      </c>
      <c r="D35" t="str">
        <f>INDEX(Define!Q:Q,MATCH(C35,Define!P:P))</f>
        <v>Hpダメージ</v>
      </c>
      <c r="E35">
        <v>150</v>
      </c>
      <c r="F35">
        <v>0</v>
      </c>
      <c r="G35">
        <v>0</v>
      </c>
      <c r="H35">
        <v>100</v>
      </c>
    </row>
    <row r="36" spans="1:8">
      <c r="A36">
        <v>2080</v>
      </c>
      <c r="B36" t="str">
        <f>INDEX(TextData!B:B,MATCH(A36,TextData!A:A))</f>
        <v>ディレイマジック</v>
      </c>
      <c r="C36">
        <v>4010</v>
      </c>
      <c r="D36" t="str">
        <f>INDEX(Define!Q:Q,MATCH(C36,Define!P:P))</f>
        <v>Ctダメージ</v>
      </c>
      <c r="E36">
        <v>1</v>
      </c>
      <c r="F36">
        <v>0</v>
      </c>
      <c r="G36">
        <v>0</v>
      </c>
      <c r="H36">
        <v>100</v>
      </c>
    </row>
    <row r="37" spans="1:8">
      <c r="A37">
        <v>3010</v>
      </c>
      <c r="B37" t="str">
        <f>INDEX(TextData!B:B,MATCH(A37,TextData!A:A))</f>
        <v>アイスブレイド</v>
      </c>
      <c r="C37">
        <v>1010</v>
      </c>
      <c r="D37" t="str">
        <f>INDEX(Define!Q:Q,MATCH(C37,Define!P:P))</f>
        <v>Hpダメージ</v>
      </c>
      <c r="E37">
        <v>150</v>
      </c>
      <c r="F37">
        <v>0</v>
      </c>
      <c r="G37">
        <v>0</v>
      </c>
      <c r="H37">
        <v>100</v>
      </c>
    </row>
    <row r="38" spans="1:9">
      <c r="A38">
        <v>3020</v>
      </c>
      <c r="B38" t="str">
        <f>INDEX(TextData!B:B,MATCH(A38,TextData!A:A))</f>
        <v>カウンターオーラ</v>
      </c>
      <c r="C38">
        <v>3010</v>
      </c>
      <c r="D38" t="str">
        <f>INDEX(Define!Q:Q,MATCH(C38,Define!P:P))</f>
        <v>ステート付与</v>
      </c>
      <c r="E38">
        <v>2030</v>
      </c>
      <c r="F38">
        <v>2</v>
      </c>
      <c r="G38">
        <v>25</v>
      </c>
      <c r="H38">
        <v>100</v>
      </c>
      <c r="I38" t="str">
        <f>INDEX([1]TextData!B:B,MATCH(E38,[1]TextData!A:A))</f>
        <v>カウンタ</v>
      </c>
    </row>
    <row r="39" spans="1:9">
      <c r="A39">
        <v>3030</v>
      </c>
      <c r="B39" t="str">
        <f>INDEX(TextData!B:B,MATCH(A39,TextData!A:A))</f>
        <v>ラインプロテクト</v>
      </c>
      <c r="C39">
        <v>3010</v>
      </c>
      <c r="D39" t="str">
        <f>INDEX(Define!Q:Q,MATCH(C39,Define!P:P))</f>
        <v>ステート付与</v>
      </c>
      <c r="E39">
        <v>1050</v>
      </c>
      <c r="F39">
        <v>4</v>
      </c>
      <c r="G39">
        <v>15</v>
      </c>
      <c r="H39">
        <v>100</v>
      </c>
      <c r="I39" t="str">
        <f>INDEX([1]TextData!B:B,MATCH(E39,[1]TextData!A:A))</f>
        <v>防御アップ</v>
      </c>
    </row>
    <row r="40" spans="1:9">
      <c r="A40">
        <v>3040</v>
      </c>
      <c r="B40" t="str">
        <f>INDEX(TextData!B:B,MATCH(A40,TextData!A:A))</f>
        <v>エスコートソール</v>
      </c>
      <c r="C40">
        <v>3010</v>
      </c>
      <c r="D40" t="str">
        <f>INDEX(Define!Q:Q,MATCH(C40,Define!P:P))</f>
        <v>ステート付与</v>
      </c>
      <c r="E40">
        <v>2130</v>
      </c>
      <c r="F40">
        <v>1</v>
      </c>
      <c r="G40">
        <v>25</v>
      </c>
      <c r="H40">
        <v>100</v>
      </c>
      <c r="I40" t="str">
        <f>INDEX([1]TextData!B:B,MATCH(E40,[1]TextData!A:A))</f>
        <v>挑発</v>
      </c>
    </row>
    <row r="41" spans="1:9">
      <c r="A41">
        <v>3050</v>
      </c>
      <c r="B41" t="str">
        <f>INDEX(TextData!B:B,MATCH(A41,TextData!A:A))</f>
        <v>ディープフリーズ</v>
      </c>
      <c r="C41">
        <v>3010</v>
      </c>
      <c r="D41" t="str">
        <f>INDEX(Define!Q:Q,MATCH(C41,Define!P:P))</f>
        <v>ステート付与</v>
      </c>
      <c r="E41">
        <v>2140</v>
      </c>
      <c r="F41">
        <v>1</v>
      </c>
      <c r="G41">
        <v>25</v>
      </c>
      <c r="H41">
        <v>100</v>
      </c>
      <c r="I41" t="str">
        <f>INDEX([1]TextData!B:B,MATCH(E41,[1]TextData!A:A))</f>
        <v>凍結</v>
      </c>
    </row>
    <row r="42" spans="1:8">
      <c r="A42">
        <v>3060</v>
      </c>
      <c r="B42" t="str">
        <f>INDEX(TextData!B:B,MATCH(A42,TextData!A:A))</f>
        <v>バブルブロウ</v>
      </c>
      <c r="C42">
        <v>1010</v>
      </c>
      <c r="D42" t="str">
        <f>INDEX(Define!Q:Q,MATCH(C42,Define!P:P))</f>
        <v>Hpダメージ</v>
      </c>
      <c r="E42">
        <v>150</v>
      </c>
      <c r="F42">
        <v>0</v>
      </c>
      <c r="G42">
        <v>0</v>
      </c>
      <c r="H42">
        <v>100</v>
      </c>
    </row>
    <row r="43" spans="1:9">
      <c r="A43">
        <v>3060</v>
      </c>
      <c r="B43" t="str">
        <f>INDEX(TextData!B:B,MATCH(A43,TextData!A:A))</f>
        <v>バブルブロウ</v>
      </c>
      <c r="C43">
        <v>3010</v>
      </c>
      <c r="D43" t="str">
        <f>INDEX(Define!Q:Q,MATCH(C43,Define!P:P))</f>
        <v>ステート付与</v>
      </c>
      <c r="E43">
        <v>1051</v>
      </c>
      <c r="F43">
        <v>2</v>
      </c>
      <c r="G43">
        <v>8</v>
      </c>
      <c r="H43">
        <v>100</v>
      </c>
      <c r="I43" t="str">
        <f>INDEX([1]TextData!B:B,MATCH(E43,[1]TextData!A:A))</f>
        <v>防御ダウン</v>
      </c>
    </row>
    <row r="44" spans="1:9">
      <c r="A44">
        <v>3070</v>
      </c>
      <c r="B44" t="str">
        <f>INDEX(TextData!B:B,MATCH(A44,TextData!A:A))</f>
        <v>アクアミラージュ</v>
      </c>
      <c r="C44">
        <v>3010</v>
      </c>
      <c r="D44" t="str">
        <f>INDEX(Define!Q:Q,MATCH(C44,Define!P:P))</f>
        <v>ステート付与</v>
      </c>
      <c r="E44">
        <v>2050</v>
      </c>
      <c r="F44">
        <v>1</v>
      </c>
      <c r="G44">
        <v>0</v>
      </c>
      <c r="H44">
        <v>100</v>
      </c>
      <c r="I44" t="str">
        <f>INDEX([1]TextData!B:B,MATCH(E44,[1]TextData!A:A))</f>
        <v>攻撃無効</v>
      </c>
    </row>
    <row r="45" spans="1:9">
      <c r="A45">
        <v>3080</v>
      </c>
      <c r="B45" t="str">
        <f>INDEX(TextData!B:B,MATCH(A45,TextData!A:A))</f>
        <v>フロストシールド</v>
      </c>
      <c r="C45">
        <v>3010</v>
      </c>
      <c r="D45" t="str">
        <f>INDEX(Define!Q:Q,MATCH(C45,Define!P:P))</f>
        <v>ステート付与</v>
      </c>
      <c r="E45">
        <v>2410</v>
      </c>
      <c r="F45">
        <v>2</v>
      </c>
      <c r="G45">
        <v>20</v>
      </c>
      <c r="H45">
        <v>100</v>
      </c>
      <c r="I45" t="str">
        <f>INDEX([1]TextData!B:B,MATCH(E45,[1]TextData!A:A))</f>
        <v>シールド</v>
      </c>
    </row>
    <row r="46" spans="1:8">
      <c r="A46">
        <v>3110</v>
      </c>
      <c r="B46" t="str">
        <f>INDEX(TextData!B:B,MATCH(A46,TextData!A:A))</f>
        <v>フリーズランサー</v>
      </c>
      <c r="C46">
        <v>1010</v>
      </c>
      <c r="D46" t="str">
        <f>INDEX(Define!Q:Q,MATCH(C46,Define!P:P))</f>
        <v>Hpダメージ</v>
      </c>
      <c r="E46">
        <v>150</v>
      </c>
      <c r="F46">
        <v>0</v>
      </c>
      <c r="G46">
        <v>0</v>
      </c>
      <c r="H46">
        <v>100</v>
      </c>
    </row>
    <row r="47" spans="1:8">
      <c r="A47">
        <v>3120</v>
      </c>
      <c r="B47" t="str">
        <f>INDEX(TextData!B:B,MATCH(A47,TextData!A:A))</f>
        <v>ウォーターヒール</v>
      </c>
      <c r="C47">
        <v>2010</v>
      </c>
      <c r="D47" t="str">
        <f>INDEX(Define!Q:Q,MATCH(C47,Define!P:P))</f>
        <v>Hp回復</v>
      </c>
      <c r="E47">
        <v>15</v>
      </c>
      <c r="F47">
        <v>0</v>
      </c>
      <c r="G47">
        <v>0</v>
      </c>
      <c r="H47">
        <v>100</v>
      </c>
    </row>
    <row r="48" spans="1:8">
      <c r="A48">
        <v>4010</v>
      </c>
      <c r="B48" t="str">
        <f>INDEX(TextData!B:B,MATCH(A48,TextData!A:A))</f>
        <v>セイントレーザー</v>
      </c>
      <c r="C48">
        <v>1010</v>
      </c>
      <c r="D48" t="str">
        <f>INDEX(Define!Q:Q,MATCH(C48,Define!P:P))</f>
        <v>Hpダメージ</v>
      </c>
      <c r="E48">
        <v>150</v>
      </c>
      <c r="F48">
        <v>0</v>
      </c>
      <c r="G48">
        <v>0</v>
      </c>
      <c r="H48">
        <v>100</v>
      </c>
    </row>
    <row r="49" spans="1:8">
      <c r="A49">
        <v>4010</v>
      </c>
      <c r="B49" t="str">
        <f>INDEX(TextData!B:B,MATCH(A49,TextData!A:A))</f>
        <v>セイントレーザー</v>
      </c>
      <c r="C49">
        <v>8020</v>
      </c>
      <c r="D49" t="str">
        <f>INDEX(Define!Q:Q,MATCH(C49,Define!P:P))</f>
        <v>アンデッド特攻</v>
      </c>
      <c r="E49">
        <v>1</v>
      </c>
      <c r="F49">
        <v>0</v>
      </c>
      <c r="G49">
        <v>200</v>
      </c>
      <c r="H49">
        <v>100</v>
      </c>
    </row>
    <row r="50" spans="1:8">
      <c r="A50">
        <v>4020</v>
      </c>
      <c r="B50" t="str">
        <f>INDEX(TextData!B:B,MATCH(A50,TextData!A:A))</f>
        <v>ペネトレイト</v>
      </c>
      <c r="C50">
        <v>1040</v>
      </c>
      <c r="D50" t="str">
        <f>INDEX(Define!Q:Q,MATCH(C50,Define!P:P))</f>
        <v>特定ステートダメージ</v>
      </c>
      <c r="E50">
        <v>150</v>
      </c>
      <c r="F50">
        <v>0</v>
      </c>
      <c r="G50">
        <v>0</v>
      </c>
      <c r="H50">
        <v>100</v>
      </c>
    </row>
    <row r="51" spans="1:8">
      <c r="A51">
        <v>4020</v>
      </c>
      <c r="B51" t="str">
        <f>INDEX(TextData!B:B,MATCH(A51,TextData!A:A))</f>
        <v>ペネトレイト</v>
      </c>
      <c r="C51">
        <v>8020</v>
      </c>
      <c r="D51" t="str">
        <f>INDEX(Define!Q:Q,MATCH(C51,Define!P:P))</f>
        <v>アンデッド特攻</v>
      </c>
      <c r="E51">
        <v>1</v>
      </c>
      <c r="F51">
        <v>0</v>
      </c>
      <c r="G51">
        <v>200</v>
      </c>
      <c r="H51">
        <v>100</v>
      </c>
    </row>
    <row r="52" spans="1:8">
      <c r="A52">
        <v>4030</v>
      </c>
      <c r="B52" t="str">
        <f>INDEX(TextData!B:B,MATCH(A52,TextData!A:A))</f>
        <v>ヒーリング</v>
      </c>
      <c r="C52">
        <v>2010</v>
      </c>
      <c r="D52" t="str">
        <f>INDEX(Define!Q:Q,MATCH(C52,Define!P:P))</f>
        <v>Hp回復</v>
      </c>
      <c r="E52">
        <v>25</v>
      </c>
      <c r="F52">
        <v>0</v>
      </c>
      <c r="G52">
        <v>0</v>
      </c>
      <c r="H52">
        <v>100</v>
      </c>
    </row>
    <row r="53" spans="1:8">
      <c r="A53">
        <v>4030</v>
      </c>
      <c r="B53" t="str">
        <f>INDEX(TextData!B:B,MATCH(A53,TextData!A:A))</f>
        <v>ヒーリング</v>
      </c>
      <c r="C53">
        <v>8010</v>
      </c>
      <c r="D53" t="str">
        <f>INDEX(Define!Q:Q,MATCH(C53,Define!P:P))</f>
        <v>回復特性</v>
      </c>
      <c r="E53">
        <v>1</v>
      </c>
      <c r="F53">
        <v>0</v>
      </c>
      <c r="G53">
        <v>200</v>
      </c>
      <c r="H53">
        <v>100</v>
      </c>
    </row>
    <row r="54" spans="1:8">
      <c r="A54">
        <v>4030</v>
      </c>
      <c r="B54" t="str">
        <f>INDEX(TextData!B:B,MATCH(A54,TextData!A:A))</f>
        <v>ヒーリング</v>
      </c>
      <c r="C54">
        <v>8020</v>
      </c>
      <c r="D54" t="str">
        <f>INDEX(Define!Q:Q,MATCH(C54,Define!P:P))</f>
        <v>アンデッド特攻</v>
      </c>
      <c r="E54">
        <v>0</v>
      </c>
      <c r="F54">
        <v>0</v>
      </c>
      <c r="G54">
        <v>0</v>
      </c>
      <c r="H54">
        <v>100</v>
      </c>
    </row>
    <row r="55" spans="1:8">
      <c r="A55">
        <v>4040</v>
      </c>
      <c r="B55" t="str">
        <f>INDEX(TextData!B:B,MATCH(A55,TextData!A:A))</f>
        <v>リザイアフォトン</v>
      </c>
      <c r="C55">
        <v>1010</v>
      </c>
      <c r="D55" t="str">
        <f>INDEX(Define!Q:Q,MATCH(C55,Define!P:P))</f>
        <v>Hpダメージ</v>
      </c>
      <c r="E55">
        <v>150</v>
      </c>
      <c r="F55">
        <v>0</v>
      </c>
      <c r="G55">
        <v>0</v>
      </c>
      <c r="H55">
        <v>100</v>
      </c>
    </row>
    <row r="56" spans="1:8">
      <c r="A56">
        <v>4040</v>
      </c>
      <c r="B56" t="str">
        <f>INDEX(TextData!B:B,MATCH(A56,TextData!A:A))</f>
        <v>リザイアフォトン</v>
      </c>
      <c r="C56">
        <v>2130</v>
      </c>
      <c r="D56" t="str">
        <f>INDEX(Define!Q:Q,MATCH(C56,Define!P:P))</f>
        <v>攻撃成功で味方全体に回復</v>
      </c>
      <c r="E56">
        <v>0</v>
      </c>
      <c r="F56">
        <v>0</v>
      </c>
      <c r="G56">
        <v>5</v>
      </c>
      <c r="H56">
        <v>100</v>
      </c>
    </row>
    <row r="57" spans="1:8">
      <c r="A57">
        <v>4050</v>
      </c>
      <c r="B57" t="str">
        <f>INDEX(TextData!B:B,MATCH(A57,TextData!A:A))</f>
        <v>べネディクション</v>
      </c>
      <c r="C57">
        <v>2010</v>
      </c>
      <c r="D57" t="str">
        <f>INDEX(Define!Q:Q,MATCH(C57,Define!P:P))</f>
        <v>Hp回復</v>
      </c>
      <c r="E57">
        <v>10</v>
      </c>
      <c r="F57">
        <v>0</v>
      </c>
      <c r="G57">
        <v>0</v>
      </c>
      <c r="H57">
        <v>100</v>
      </c>
    </row>
    <row r="58" spans="1:9">
      <c r="A58">
        <v>4060</v>
      </c>
      <c r="B58" t="str">
        <f>INDEX(TextData!B:B,MATCH(A58,TextData!A:A))</f>
        <v>ホーリーグレイス</v>
      </c>
      <c r="C58">
        <v>3020</v>
      </c>
      <c r="D58" t="str">
        <f>INDEX(Define!Q:Q,MATCH(C58,Define!P:P))</f>
        <v>ステート解除</v>
      </c>
      <c r="E58">
        <v>1</v>
      </c>
      <c r="F58">
        <v>0</v>
      </c>
      <c r="G58">
        <v>0</v>
      </c>
      <c r="H58">
        <v>100</v>
      </c>
      <c r="I58" t="str">
        <f>INDEX([1]TextData!B:B,MATCH(E58,[1]TextData!A:A))</f>
        <v>戦闘不能</v>
      </c>
    </row>
    <row r="59" spans="1:8">
      <c r="A59">
        <v>4060</v>
      </c>
      <c r="B59" t="str">
        <f>INDEX(TextData!B:B,MATCH(A59,TextData!A:A))</f>
        <v>ホーリーグレイス</v>
      </c>
      <c r="C59">
        <v>2010</v>
      </c>
      <c r="D59" t="str">
        <f>INDEX(Define!Q:Q,MATCH(C59,Define!P:P))</f>
        <v>Hp回復</v>
      </c>
      <c r="E59">
        <v>25</v>
      </c>
      <c r="F59">
        <v>0</v>
      </c>
      <c r="G59">
        <v>0</v>
      </c>
      <c r="H59">
        <v>100</v>
      </c>
    </row>
    <row r="60" spans="1:8">
      <c r="A60">
        <v>4070</v>
      </c>
      <c r="B60" t="str">
        <f>INDEX(TextData!B:B,MATCH(A60,TextData!A:A))</f>
        <v>キュアエール</v>
      </c>
      <c r="C60">
        <v>2010</v>
      </c>
      <c r="D60" t="str">
        <f>INDEX(Define!Q:Q,MATCH(C60,Define!P:P))</f>
        <v>Hp回復</v>
      </c>
      <c r="E60">
        <v>15</v>
      </c>
      <c r="F60">
        <v>0</v>
      </c>
      <c r="G60">
        <v>0</v>
      </c>
      <c r="H60">
        <v>100</v>
      </c>
    </row>
    <row r="61" spans="1:8">
      <c r="A61">
        <v>4070</v>
      </c>
      <c r="B61" t="str">
        <f>INDEX(TextData!B:B,MATCH(A61,TextData!A:A))</f>
        <v>キュアエール</v>
      </c>
      <c r="C61">
        <v>3030</v>
      </c>
      <c r="D61" t="str">
        <f>INDEX(Define!Q:Q,MATCH(C61,Define!P:P))</f>
        <v>Abnormalステート解除</v>
      </c>
      <c r="E61">
        <v>0</v>
      </c>
      <c r="F61">
        <v>0</v>
      </c>
      <c r="G61">
        <v>0</v>
      </c>
      <c r="H61">
        <v>100</v>
      </c>
    </row>
    <row r="62" spans="1:9">
      <c r="A62">
        <v>4080</v>
      </c>
      <c r="B62" t="str">
        <f>INDEX(TextData!B:B,MATCH(A62,TextData!A:A))</f>
        <v>ラインバリア</v>
      </c>
      <c r="C62">
        <v>3010</v>
      </c>
      <c r="D62" t="str">
        <f>INDEX(Define!Q:Q,MATCH(C62,Define!P:P))</f>
        <v>ステート付与</v>
      </c>
      <c r="E62">
        <v>1100</v>
      </c>
      <c r="F62">
        <v>1</v>
      </c>
      <c r="G62">
        <v>50</v>
      </c>
      <c r="H62">
        <v>100</v>
      </c>
      <c r="I62" t="str">
        <f>INDEX([1]TextData!B:B,MATCH(E62,[1]TextData!A:A))</f>
        <v>ダメージカット</v>
      </c>
    </row>
    <row r="63" spans="1:8">
      <c r="A63">
        <v>5010</v>
      </c>
      <c r="B63" t="str">
        <f>INDEX(TextData!B:B,MATCH(A63,TextData!A:A))</f>
        <v>ダークプリズン</v>
      </c>
      <c r="C63">
        <v>1010</v>
      </c>
      <c r="D63" t="str">
        <f>INDEX(Define!Q:Q,MATCH(C63,Define!P:P))</f>
        <v>Hpダメージ</v>
      </c>
      <c r="E63">
        <v>150</v>
      </c>
      <c r="F63">
        <v>0</v>
      </c>
      <c r="G63">
        <v>0</v>
      </c>
      <c r="H63">
        <v>100</v>
      </c>
    </row>
    <row r="64" spans="1:8">
      <c r="A64">
        <v>5020</v>
      </c>
      <c r="B64" t="str">
        <f>INDEX(TextData!B:B,MATCH(A64,TextData!A:A))</f>
        <v>ユーサネイジア</v>
      </c>
      <c r="C64">
        <v>1010</v>
      </c>
      <c r="D64" t="str">
        <f>INDEX(Define!Q:Q,MATCH(C64,Define!P:P))</f>
        <v>Hpダメージ</v>
      </c>
      <c r="E64">
        <v>100</v>
      </c>
      <c r="F64">
        <v>0</v>
      </c>
      <c r="G64">
        <v>0</v>
      </c>
      <c r="H64">
        <v>100</v>
      </c>
    </row>
    <row r="65" spans="1:8">
      <c r="A65">
        <v>5030</v>
      </c>
      <c r="B65" t="str">
        <f>INDEX(TextData!B:B,MATCH(A65,TextData!A:A))</f>
        <v>ドレインヒール</v>
      </c>
      <c r="C65">
        <v>1020</v>
      </c>
      <c r="D65" t="str">
        <f>INDEX(Define!Q:Q,MATCH(C65,Define!P:P))</f>
        <v>Hp吸収ダメージ</v>
      </c>
      <c r="E65">
        <v>150</v>
      </c>
      <c r="F65">
        <v>0</v>
      </c>
      <c r="G65">
        <v>50</v>
      </c>
      <c r="H65">
        <v>100</v>
      </c>
    </row>
    <row r="66" spans="1:8">
      <c r="A66">
        <v>5040</v>
      </c>
      <c r="B66" t="str">
        <f>INDEX(TextData!B:B,MATCH(A66,TextData!A:A))</f>
        <v>アビサルデスペア</v>
      </c>
      <c r="C66">
        <v>1010</v>
      </c>
      <c r="D66" t="str">
        <f>INDEX(Define!Q:Q,MATCH(C66,Define!P:P))</f>
        <v>Hpダメージ</v>
      </c>
      <c r="E66">
        <v>150</v>
      </c>
      <c r="F66">
        <v>0</v>
      </c>
      <c r="G66">
        <v>0</v>
      </c>
      <c r="H66">
        <v>100</v>
      </c>
    </row>
    <row r="67" spans="1:9">
      <c r="A67">
        <v>5040</v>
      </c>
      <c r="B67" t="str">
        <f>INDEX(TextData!B:B,MATCH(A67,TextData!A:A))</f>
        <v>アビサルデスペア</v>
      </c>
      <c r="C67">
        <v>3010</v>
      </c>
      <c r="D67" t="str">
        <f>INDEX(Define!Q:Q,MATCH(C67,Define!P:P))</f>
        <v>ステート付与</v>
      </c>
      <c r="E67">
        <v>2400</v>
      </c>
      <c r="F67">
        <v>3</v>
      </c>
      <c r="G67">
        <v>0</v>
      </c>
      <c r="H67">
        <v>100</v>
      </c>
      <c r="I67" t="str">
        <f>INDEX([1]TextData!B:B,MATCH(E67,[1]TextData!A:A))</f>
        <v>不治</v>
      </c>
    </row>
    <row r="68" spans="1:8">
      <c r="A68">
        <v>5050</v>
      </c>
      <c r="B68" t="str">
        <f>INDEX(TextData!B:B,MATCH(A68,TextData!A:A))</f>
        <v>ディプラヴィティ</v>
      </c>
      <c r="C68">
        <v>1010</v>
      </c>
      <c r="D68" t="str">
        <f>INDEX(Define!Q:Q,MATCH(C68,Define!P:P))</f>
        <v>Hpダメージ</v>
      </c>
      <c r="E68">
        <v>150</v>
      </c>
      <c r="F68">
        <v>0</v>
      </c>
      <c r="G68">
        <v>0</v>
      </c>
      <c r="H68">
        <v>100</v>
      </c>
    </row>
    <row r="69" spans="1:8">
      <c r="A69">
        <v>5050</v>
      </c>
      <c r="B69" t="str">
        <f>INDEX(TextData!B:B,MATCH(A69,TextData!A:A))</f>
        <v>ディプラヴィティ</v>
      </c>
      <c r="C69">
        <v>4010</v>
      </c>
      <c r="D69" t="str">
        <f>INDEX(Define!Q:Q,MATCH(C69,Define!P:P))</f>
        <v>Ctダメージ</v>
      </c>
      <c r="E69">
        <v>2</v>
      </c>
      <c r="F69">
        <v>0</v>
      </c>
      <c r="G69">
        <v>0</v>
      </c>
      <c r="H69">
        <v>100</v>
      </c>
    </row>
    <row r="70" spans="1:9">
      <c r="A70">
        <v>5060</v>
      </c>
      <c r="B70" t="str">
        <f>INDEX(TextData!B:B,MATCH(A70,TextData!A:A))</f>
        <v>ダークネス</v>
      </c>
      <c r="C70">
        <v>3010</v>
      </c>
      <c r="D70" t="str">
        <f>INDEX(Define!Q:Q,MATCH(C70,Define!P:P))</f>
        <v>ステート付与</v>
      </c>
      <c r="E70">
        <v>1082</v>
      </c>
      <c r="F70">
        <v>5</v>
      </c>
      <c r="G70">
        <v>25</v>
      </c>
      <c r="H70">
        <v>100</v>
      </c>
      <c r="I70" t="str">
        <f>INDEX([1]TextData!B:B,MATCH(E70,[1]TextData!A:A))</f>
        <v>命中ダウン</v>
      </c>
    </row>
    <row r="71" spans="1:9">
      <c r="A71">
        <v>5070</v>
      </c>
      <c r="B71" t="str">
        <f>INDEX(TextData!B:B,MATCH(A71,TextData!A:A))</f>
        <v>シェイディークラウド</v>
      </c>
      <c r="C71">
        <v>3010</v>
      </c>
      <c r="D71" t="str">
        <f>INDEX(Define!Q:Q,MATCH(C71,Define!P:P))</f>
        <v>ステート付与</v>
      </c>
      <c r="E71">
        <v>1041</v>
      </c>
      <c r="F71">
        <v>2</v>
      </c>
      <c r="G71">
        <v>8</v>
      </c>
      <c r="H71">
        <v>100</v>
      </c>
      <c r="I71" t="str">
        <f>INDEX([1]TextData!B:B,MATCH(E71,[1]TextData!A:A))</f>
        <v>攻撃ダウン</v>
      </c>
    </row>
    <row r="72" spans="1:8">
      <c r="A72">
        <v>5080</v>
      </c>
      <c r="B72" t="str">
        <f>INDEX(TextData!B:B,MATCH(A72,TextData!A:A))</f>
        <v>ポイズンブロウ</v>
      </c>
      <c r="C72">
        <v>1010</v>
      </c>
      <c r="D72" t="str">
        <f>INDEX(Define!Q:Q,MATCH(C72,Define!P:P))</f>
        <v>Hpダメージ</v>
      </c>
      <c r="E72">
        <v>150</v>
      </c>
      <c r="F72">
        <v>0</v>
      </c>
      <c r="G72">
        <v>0</v>
      </c>
      <c r="H72">
        <v>100</v>
      </c>
    </row>
    <row r="73" spans="1:9">
      <c r="A73">
        <v>5080</v>
      </c>
      <c r="B73" t="str">
        <f>INDEX(TextData!B:B,MATCH(A73,TextData!A:A))</f>
        <v>ポイズンブロウ</v>
      </c>
      <c r="C73">
        <v>3010</v>
      </c>
      <c r="D73" t="str">
        <f>INDEX(Define!Q:Q,MATCH(C73,Define!P:P))</f>
        <v>ステート付与</v>
      </c>
      <c r="E73">
        <v>2010</v>
      </c>
      <c r="F73">
        <v>2</v>
      </c>
      <c r="G73">
        <v>10</v>
      </c>
      <c r="H73">
        <v>100</v>
      </c>
      <c r="I73" t="str">
        <f>INDEX([1]TextData!B:B,MATCH(E73,[1]TextData!A:A))</f>
        <v>毒</v>
      </c>
    </row>
    <row r="74" spans="1:9">
      <c r="A74">
        <v>10010</v>
      </c>
      <c r="B74" t="str">
        <f>INDEX(TextData!B:B,MATCH(A74,TextData!A:A))</f>
        <v>アンデッド</v>
      </c>
      <c r="C74">
        <v>3010</v>
      </c>
      <c r="D74" t="str">
        <f>INDEX(Define!Q:Q,MATCH(C74,Define!P:P))</f>
        <v>ステート付与</v>
      </c>
      <c r="E74">
        <v>2270</v>
      </c>
      <c r="F74">
        <v>0</v>
      </c>
      <c r="G74">
        <v>10</v>
      </c>
      <c r="H74">
        <v>100</v>
      </c>
      <c r="I74" t="str">
        <f>INDEX([1]TextData!B:B,MATCH(E74,[1]TextData!A:A))</f>
        <v>アンデッド</v>
      </c>
    </row>
    <row r="75" spans="1:9">
      <c r="A75">
        <v>10020</v>
      </c>
      <c r="B75" t="str">
        <f>INDEX(TextData!B:B,MATCH(A75,TextData!A:A))</f>
        <v>エアリアル</v>
      </c>
      <c r="C75">
        <v>3010</v>
      </c>
      <c r="D75" t="str">
        <f>INDEX(Define!Q:Q,MATCH(C75,Define!P:P))</f>
        <v>ステート付与</v>
      </c>
      <c r="E75">
        <v>2190</v>
      </c>
      <c r="F75">
        <v>999</v>
      </c>
      <c r="G75">
        <v>0</v>
      </c>
      <c r="H75">
        <v>100</v>
      </c>
      <c r="I75" t="str">
        <f>INDEX([1]TextData!B:B,MATCH(E75,[1]TextData!A:A))</f>
        <v>対象範囲延長</v>
      </c>
    </row>
    <row r="76" spans="1:9">
      <c r="A76">
        <v>10030</v>
      </c>
      <c r="B76" t="str">
        <f>INDEX(TextData!B:B,MATCH(A76,TextData!A:A))</f>
        <v>悪魔</v>
      </c>
      <c r="C76">
        <v>3010</v>
      </c>
      <c r="D76" t="str">
        <f>INDEX(Define!Q:Q,MATCH(C76,Define!P:P))</f>
        <v>ステート付与</v>
      </c>
      <c r="E76">
        <v>1030</v>
      </c>
      <c r="F76">
        <v>999</v>
      </c>
      <c r="G76">
        <v>3</v>
      </c>
      <c r="H76">
        <v>100</v>
      </c>
      <c r="I76" t="str">
        <f>INDEX([1]TextData!B:B,MATCH(E76,[1]TextData!A:A))</f>
        <v>最大Mpアップ</v>
      </c>
    </row>
    <row r="77" spans="1:9">
      <c r="A77">
        <v>10040</v>
      </c>
      <c r="B77" t="str">
        <f>INDEX(TextData!B:B,MATCH(A77,TextData!A:A))</f>
        <v>クリーチャー</v>
      </c>
      <c r="C77">
        <v>3010</v>
      </c>
      <c r="D77" t="str">
        <f>INDEX(Define!Q:Q,MATCH(C77,Define!P:P))</f>
        <v>ステート付与</v>
      </c>
      <c r="E77">
        <v>1020</v>
      </c>
      <c r="F77">
        <v>999</v>
      </c>
      <c r="G77">
        <v>20</v>
      </c>
      <c r="H77">
        <v>100</v>
      </c>
      <c r="I77" t="str">
        <f>INDEX([1]TextData!B:B,MATCH(E77,[1]TextData!A:A))</f>
        <v>最大Hpアップ</v>
      </c>
    </row>
    <row r="78" spans="1:9">
      <c r="A78">
        <v>10050</v>
      </c>
      <c r="B78" t="str">
        <f>INDEX(TextData!B:B,MATCH(A78,TextData!A:A))</f>
        <v>野生の記憶</v>
      </c>
      <c r="C78">
        <v>3010</v>
      </c>
      <c r="D78" t="str">
        <f>INDEX(Define!Q:Q,MATCH(C78,Define!P:P))</f>
        <v>ステート付与</v>
      </c>
      <c r="E78">
        <v>1040</v>
      </c>
      <c r="F78">
        <v>999</v>
      </c>
      <c r="G78">
        <v>4</v>
      </c>
      <c r="H78">
        <v>100</v>
      </c>
      <c r="I78" t="str">
        <f>INDEX([1]TextData!B:B,MATCH(E78,[1]TextData!A:A))</f>
        <v>攻撃アップ</v>
      </c>
    </row>
    <row r="79" spans="1:9">
      <c r="A79">
        <v>10060</v>
      </c>
      <c r="B79" t="str">
        <f>INDEX(TextData!B:B,MATCH(A79,TextData!A:A))</f>
        <v>変異生物</v>
      </c>
      <c r="C79">
        <v>3010</v>
      </c>
      <c r="D79" t="str">
        <f>INDEX(Define!Q:Q,MATCH(C79,Define!P:P))</f>
        <v>ステート付与</v>
      </c>
      <c r="E79">
        <v>1050</v>
      </c>
      <c r="F79">
        <v>999</v>
      </c>
      <c r="G79">
        <v>3</v>
      </c>
      <c r="H79">
        <v>100</v>
      </c>
      <c r="I79" t="str">
        <f>INDEX([1]TextData!B:B,MATCH(E79,[1]TextData!A:A))</f>
        <v>防御アップ</v>
      </c>
    </row>
    <row r="80" spans="1:9">
      <c r="A80">
        <v>11010</v>
      </c>
      <c r="B80" t="str">
        <f>INDEX(TextData!B:B,MATCH(A80,TextData!A:A))</f>
        <v>ウルフソウル</v>
      </c>
      <c r="C80">
        <v>3010</v>
      </c>
      <c r="D80" t="str">
        <f>INDEX(Define!Q:Q,MATCH(C80,Define!P:P))</f>
        <v>ステート付与</v>
      </c>
      <c r="E80">
        <v>1040</v>
      </c>
      <c r="F80">
        <v>999</v>
      </c>
      <c r="G80">
        <v>4</v>
      </c>
      <c r="H80">
        <v>100</v>
      </c>
      <c r="I80" t="str">
        <f>INDEX([1]TextData!B:B,MATCH(E80,[1]TextData!A:A))</f>
        <v>攻撃アップ</v>
      </c>
    </row>
    <row r="81" spans="1:9">
      <c r="A81">
        <v>11020</v>
      </c>
      <c r="B81" t="str">
        <f>INDEX(TextData!B:B,MATCH(A81,TextData!A:A))</f>
        <v>プリディカメント</v>
      </c>
      <c r="C81">
        <v>3010</v>
      </c>
      <c r="D81" t="str">
        <f>INDEX(Define!Q:Q,MATCH(C81,Define!P:P))</f>
        <v>ステート付与</v>
      </c>
      <c r="E81">
        <v>1040</v>
      </c>
      <c r="F81">
        <v>999</v>
      </c>
      <c r="G81">
        <v>8</v>
      </c>
      <c r="H81">
        <v>100</v>
      </c>
      <c r="I81" t="str">
        <f>INDEX([1]TextData!B:B,MATCH(E81,[1]TextData!A:A))</f>
        <v>攻撃アップ</v>
      </c>
    </row>
    <row r="82" spans="1:9">
      <c r="A82">
        <v>11030</v>
      </c>
      <c r="B82" t="str">
        <f>INDEX(TextData!B:B,MATCH(A82,TextData!A:A))</f>
        <v>アサルトシフト</v>
      </c>
      <c r="C82">
        <v>3010</v>
      </c>
      <c r="D82" t="str">
        <f>INDEX(Define!Q:Q,MATCH(C82,Define!P:P))</f>
        <v>ステート付与</v>
      </c>
      <c r="E82">
        <v>1040</v>
      </c>
      <c r="F82">
        <v>999</v>
      </c>
      <c r="G82">
        <v>4</v>
      </c>
      <c r="H82">
        <v>100</v>
      </c>
      <c r="I82" t="str">
        <f>INDEX([1]TextData!B:B,MATCH(E82,[1]TextData!A:A))</f>
        <v>攻撃アップ</v>
      </c>
    </row>
    <row r="83" spans="1:9">
      <c r="A83">
        <v>11030</v>
      </c>
      <c r="B83" t="str">
        <f>INDEX(TextData!B:B,MATCH(A83,TextData!A:A))</f>
        <v>アサルトシフト</v>
      </c>
      <c r="C83">
        <v>3010</v>
      </c>
      <c r="D83" t="str">
        <f>INDEX(Define!Q:Q,MATCH(C83,Define!P:P))</f>
        <v>ステート付与</v>
      </c>
      <c r="E83">
        <v>1051</v>
      </c>
      <c r="F83">
        <v>999</v>
      </c>
      <c r="G83">
        <v>4</v>
      </c>
      <c r="H83">
        <v>100</v>
      </c>
      <c r="I83" t="str">
        <f>INDEX([1]TextData!B:B,MATCH(E83,[1]TextData!A:A))</f>
        <v>防御ダウン</v>
      </c>
    </row>
    <row r="84" spans="1:8">
      <c r="A84">
        <v>11040</v>
      </c>
      <c r="B84" t="str">
        <f>INDEX(TextData!B:B,MATCH(A84,TextData!A:A))</f>
        <v>アクティブギフト</v>
      </c>
      <c r="C84">
        <v>4020</v>
      </c>
      <c r="D84" t="str">
        <f>INDEX(Define!Q:Q,MATCH(C84,Define!P:P))</f>
        <v>Ct回復</v>
      </c>
      <c r="E84">
        <v>1</v>
      </c>
      <c r="F84">
        <v>0</v>
      </c>
      <c r="G84">
        <v>0</v>
      </c>
      <c r="H84">
        <v>100</v>
      </c>
    </row>
    <row r="85" spans="1:8">
      <c r="A85">
        <v>11050</v>
      </c>
      <c r="B85" t="str">
        <f>INDEX(TextData!B:B,MATCH(A85,TextData!A:A))</f>
        <v>イグナイテッド</v>
      </c>
      <c r="C85">
        <v>4020</v>
      </c>
      <c r="D85" t="str">
        <f>INDEX(Define!Q:Q,MATCH(C85,Define!P:P))</f>
        <v>Ct回復</v>
      </c>
      <c r="E85">
        <v>3</v>
      </c>
      <c r="F85">
        <v>1</v>
      </c>
      <c r="G85">
        <v>0</v>
      </c>
      <c r="H85">
        <v>100</v>
      </c>
    </row>
    <row r="86" spans="1:8">
      <c r="A86">
        <v>11060</v>
      </c>
      <c r="B86" t="str">
        <f>INDEX(TextData!B:B,MATCH(A86,TextData!A:A))</f>
        <v>ライジングファイア</v>
      </c>
      <c r="C86">
        <v>4020</v>
      </c>
      <c r="D86" t="str">
        <f>INDEX(Define!Q:Q,MATCH(C86,Define!P:P))</f>
        <v>Ct回復</v>
      </c>
      <c r="E86">
        <v>1</v>
      </c>
      <c r="F86">
        <v>0</v>
      </c>
      <c r="G86">
        <v>0</v>
      </c>
      <c r="H86">
        <v>100</v>
      </c>
    </row>
    <row r="87" spans="1:9">
      <c r="A87">
        <v>11070</v>
      </c>
      <c r="B87" t="str">
        <f>INDEX(TextData!B:B,MATCH(A87,TextData!A:A))</f>
        <v>ルージュバック</v>
      </c>
      <c r="C87">
        <v>3010</v>
      </c>
      <c r="D87" t="str">
        <f>INDEX(Define!Q:Q,MATCH(C87,Define!P:P))</f>
        <v>ステート付与</v>
      </c>
      <c r="E87">
        <v>1044</v>
      </c>
      <c r="F87">
        <v>999</v>
      </c>
      <c r="G87">
        <v>2</v>
      </c>
      <c r="H87">
        <v>100</v>
      </c>
      <c r="I87" t="str">
        <f>INDEX([1]TextData!B:B,MATCH(E87,[1]TextData!A:A))</f>
        <v>攻撃アップ</v>
      </c>
    </row>
    <row r="88" spans="1:9">
      <c r="A88">
        <v>11080</v>
      </c>
      <c r="B88" t="str">
        <f>INDEX(TextData!B:B,MATCH(A88,TextData!A:A))</f>
        <v>パワーエール</v>
      </c>
      <c r="C88">
        <v>3010</v>
      </c>
      <c r="D88" t="str">
        <f>INDEX(Define!Q:Q,MATCH(C88,Define!P:P))</f>
        <v>ステート付与</v>
      </c>
      <c r="E88">
        <v>1040</v>
      </c>
      <c r="F88">
        <v>1</v>
      </c>
      <c r="G88">
        <v>4</v>
      </c>
      <c r="H88">
        <v>100</v>
      </c>
      <c r="I88" t="str">
        <f>INDEX([1]TextData!B:B,MATCH(E88,[1]TextData!A:A))</f>
        <v>攻撃アップ</v>
      </c>
    </row>
    <row r="89" spans="1:9">
      <c r="A89">
        <v>11090</v>
      </c>
      <c r="B89" t="str">
        <f>INDEX(TextData!B:B,MATCH(A89,TextData!A:A))</f>
        <v>スレイプニル</v>
      </c>
      <c r="C89">
        <v>3010</v>
      </c>
      <c r="D89" t="str">
        <f>INDEX(Define!Q:Q,MATCH(C89,Define!P:P))</f>
        <v>ステート付与</v>
      </c>
      <c r="E89">
        <v>2330</v>
      </c>
      <c r="F89">
        <v>1</v>
      </c>
      <c r="G89">
        <v>15</v>
      </c>
      <c r="H89">
        <v>100</v>
      </c>
      <c r="I89" t="str">
        <f>INDEX([1]TextData!B:B,MATCH(E89,[1]TextData!A:A))</f>
        <v>貫通</v>
      </c>
    </row>
    <row r="90" spans="1:9">
      <c r="A90">
        <v>12010</v>
      </c>
      <c r="B90" t="str">
        <f>INDEX(TextData!B:B,MATCH(A90,TextData!A:A))</f>
        <v>エクステンション</v>
      </c>
      <c r="C90">
        <v>3010</v>
      </c>
      <c r="D90" t="str">
        <f>INDEX(Define!Q:Q,MATCH(C90,Define!P:P))</f>
        <v>ステート付与</v>
      </c>
      <c r="E90">
        <v>2190</v>
      </c>
      <c r="F90">
        <v>999</v>
      </c>
      <c r="G90">
        <v>0</v>
      </c>
      <c r="H90">
        <v>100</v>
      </c>
      <c r="I90" t="str">
        <f>INDEX([1]TextData!B:B,MATCH(E90,[1]TextData!A:A))</f>
        <v>対象範囲延長</v>
      </c>
    </row>
    <row r="91" spans="1:9">
      <c r="A91">
        <v>12020</v>
      </c>
      <c r="B91" t="str">
        <f>INDEX(TextData!B:B,MATCH(A91,TextData!A:A))</f>
        <v>ヘブンリーラック</v>
      </c>
      <c r="C91">
        <v>3010</v>
      </c>
      <c r="D91" t="str">
        <f>INDEX(Define!Q:Q,MATCH(C91,Define!P:P))</f>
        <v>ステート付与</v>
      </c>
      <c r="E91">
        <v>1090</v>
      </c>
      <c r="F91">
        <v>999</v>
      </c>
      <c r="G91">
        <v>10</v>
      </c>
      <c r="H91">
        <v>100</v>
      </c>
      <c r="I91" t="str">
        <f>INDEX([1]TextData!B:B,MATCH(E91,[1]TextData!A:A))</f>
        <v>回避アップ</v>
      </c>
    </row>
    <row r="92" spans="1:9">
      <c r="A92">
        <v>12030</v>
      </c>
      <c r="B92" t="str">
        <f>INDEX(TextData!B:B,MATCH(A92,TextData!A:A))</f>
        <v>スウィフトカレント</v>
      </c>
      <c r="C92">
        <v>3010</v>
      </c>
      <c r="D92" t="str">
        <f>INDEX(Define!Q:Q,MATCH(C92,Define!P:P))</f>
        <v>ステート付与</v>
      </c>
      <c r="E92">
        <v>1060</v>
      </c>
      <c r="F92">
        <v>999</v>
      </c>
      <c r="G92">
        <v>5</v>
      </c>
      <c r="H92">
        <v>100</v>
      </c>
      <c r="I92" t="str">
        <f>INDEX([1]TextData!B:B,MATCH(E92,[1]TextData!A:A))</f>
        <v>速度アップ</v>
      </c>
    </row>
    <row r="93" spans="1:9">
      <c r="A93">
        <v>12040</v>
      </c>
      <c r="B93" t="str">
        <f>INDEX(TextData!B:B,MATCH(A93,TextData!A:A))</f>
        <v>イヴェイドオール</v>
      </c>
      <c r="C93">
        <v>3010</v>
      </c>
      <c r="D93" t="str">
        <f>INDEX(Define!Q:Q,MATCH(C93,Define!P:P))</f>
        <v>ステート付与</v>
      </c>
      <c r="E93">
        <v>1092</v>
      </c>
      <c r="F93">
        <v>999</v>
      </c>
      <c r="G93">
        <v>5</v>
      </c>
      <c r="H93">
        <v>100</v>
      </c>
      <c r="I93" t="str">
        <f>INDEX([1]TextData!B:B,MATCH(E93,[1]TextData!A:A))</f>
        <v>回避アップ</v>
      </c>
    </row>
    <row r="94" spans="1:8">
      <c r="A94">
        <v>12050</v>
      </c>
      <c r="B94" t="str">
        <f>INDEX(TextData!B:B,MATCH(A94,TextData!A:A))</f>
        <v>クイックムーブ</v>
      </c>
      <c r="C94">
        <v>5020</v>
      </c>
      <c r="D94" t="str">
        <f>INDEX(Define!Q:Q,MATCH(C94,Define!P:P))</f>
        <v>Ap回復</v>
      </c>
      <c r="E94">
        <v>200</v>
      </c>
      <c r="F94">
        <v>0</v>
      </c>
      <c r="G94">
        <v>0</v>
      </c>
      <c r="H94">
        <v>100</v>
      </c>
    </row>
    <row r="95" spans="1:8">
      <c r="A95">
        <v>12060</v>
      </c>
      <c r="B95" t="str">
        <f>INDEX(TextData!B:B,MATCH(A95,TextData!A:A))</f>
        <v>チェイスマジック</v>
      </c>
      <c r="C95">
        <v>1010</v>
      </c>
      <c r="D95" t="str">
        <f>INDEX(Define!Q:Q,MATCH(C95,Define!P:P))</f>
        <v>Hpダメージ</v>
      </c>
      <c r="E95">
        <v>100</v>
      </c>
      <c r="F95">
        <v>0</v>
      </c>
      <c r="G95">
        <v>0</v>
      </c>
      <c r="H95">
        <v>100</v>
      </c>
    </row>
    <row r="96" spans="1:9">
      <c r="A96">
        <v>12070</v>
      </c>
      <c r="B96" t="str">
        <f>INDEX(TextData!B:B,MATCH(A96,TextData!A:A))</f>
        <v>ソーサリーコネクト</v>
      </c>
      <c r="C96">
        <v>3010</v>
      </c>
      <c r="D96" t="str">
        <f>INDEX(Define!Q:Q,MATCH(C96,Define!P:P))</f>
        <v>ステート付与</v>
      </c>
      <c r="E96">
        <v>1040</v>
      </c>
      <c r="F96">
        <v>1</v>
      </c>
      <c r="G96">
        <v>8</v>
      </c>
      <c r="H96">
        <v>100</v>
      </c>
      <c r="I96" t="str">
        <f>INDEX([1]TextData!B:B,MATCH(E96,[1]TextData!A:A))</f>
        <v>攻撃アップ</v>
      </c>
    </row>
    <row r="97" spans="1:8">
      <c r="A97">
        <v>12070</v>
      </c>
      <c r="B97" t="str">
        <f>INDEX(TextData!B:B,MATCH(A97,TextData!A:A))</f>
        <v>ソーサリーコネクト</v>
      </c>
      <c r="C97">
        <v>7010</v>
      </c>
      <c r="D97" t="str">
        <f>INDEX(Define!Q:Q,MATCH(C97,Define!P:P))</f>
        <v>行動後スキル</v>
      </c>
      <c r="E97">
        <v>12071</v>
      </c>
      <c r="F97">
        <v>0</v>
      </c>
      <c r="G97">
        <v>0</v>
      </c>
      <c r="H97">
        <v>100</v>
      </c>
    </row>
    <row r="98" spans="1:9">
      <c r="A98">
        <v>12071</v>
      </c>
      <c r="B98" t="str">
        <f>INDEX(TextData!B:B,MATCH(A98,TextData!A:A))</f>
        <v>ソーサリーコネクト</v>
      </c>
      <c r="C98">
        <v>3010</v>
      </c>
      <c r="D98" t="str">
        <f>INDEX(Define!Q:Q,MATCH(C98,Define!P:P))</f>
        <v>ステート付与</v>
      </c>
      <c r="E98">
        <v>1041</v>
      </c>
      <c r="F98">
        <v>1</v>
      </c>
      <c r="G98">
        <v>8</v>
      </c>
      <c r="H98">
        <v>100</v>
      </c>
      <c r="I98" t="str">
        <f>INDEX([1]TextData!B:B,MATCH(E98,[1]TextData!A:A))</f>
        <v>攻撃ダウン</v>
      </c>
    </row>
    <row r="99" spans="1:8">
      <c r="A99">
        <v>12080</v>
      </c>
      <c r="B99" t="str">
        <f>INDEX(TextData!B:B,MATCH(A99,TextData!A:A))</f>
        <v>ウィンドライズ</v>
      </c>
      <c r="C99">
        <v>1010</v>
      </c>
      <c r="D99" t="str">
        <f>INDEX(Define!Q:Q,MATCH(C99,Define!P:P))</f>
        <v>Hpダメージ</v>
      </c>
      <c r="E99">
        <v>150</v>
      </c>
      <c r="F99">
        <v>0</v>
      </c>
      <c r="G99">
        <v>0</v>
      </c>
      <c r="H99">
        <v>100</v>
      </c>
    </row>
    <row r="100" spans="1:8">
      <c r="A100">
        <v>12090</v>
      </c>
      <c r="B100" t="str">
        <f>INDEX(TextData!B:B,MATCH(A100,TextData!A:A))</f>
        <v>アウトオブオーダー</v>
      </c>
      <c r="C100">
        <v>5020</v>
      </c>
      <c r="D100" t="str">
        <f>INDEX(Define!Q:Q,MATCH(C100,Define!P:P))</f>
        <v>Ap回復</v>
      </c>
      <c r="E100">
        <v>200</v>
      </c>
      <c r="F100">
        <v>0</v>
      </c>
      <c r="G100">
        <v>0</v>
      </c>
      <c r="H100">
        <v>100</v>
      </c>
    </row>
    <row r="101" spans="1:9">
      <c r="A101">
        <v>13010</v>
      </c>
      <c r="B101" t="str">
        <f>INDEX(TextData!B:B,MATCH(A101,TextData!A:A))</f>
        <v>アーマーコード</v>
      </c>
      <c r="C101">
        <v>3010</v>
      </c>
      <c r="D101" t="str">
        <f>INDEX(Define!Q:Q,MATCH(C101,Define!P:P))</f>
        <v>ステート付与</v>
      </c>
      <c r="E101">
        <v>1050</v>
      </c>
      <c r="F101">
        <v>999</v>
      </c>
      <c r="G101">
        <v>4</v>
      </c>
      <c r="H101">
        <v>100</v>
      </c>
      <c r="I101" t="str">
        <f>INDEX([1]TextData!B:B,MATCH(E101,[1]TextData!A:A))</f>
        <v>防御アップ</v>
      </c>
    </row>
    <row r="102" spans="1:9">
      <c r="A102">
        <v>13020</v>
      </c>
      <c r="B102" t="str">
        <f>INDEX(TextData!B:B,MATCH(A102,TextData!A:A))</f>
        <v>クイックバリア</v>
      </c>
      <c r="C102">
        <v>3010</v>
      </c>
      <c r="D102" t="str">
        <f>INDEX(Define!Q:Q,MATCH(C102,Define!P:P))</f>
        <v>ステート付与</v>
      </c>
      <c r="E102">
        <v>1100</v>
      </c>
      <c r="F102">
        <v>1</v>
      </c>
      <c r="G102">
        <v>25</v>
      </c>
      <c r="H102">
        <v>100</v>
      </c>
      <c r="I102" t="str">
        <f>INDEX([1]TextData!B:B,MATCH(E102,[1]TextData!A:A))</f>
        <v>ダメージカット</v>
      </c>
    </row>
    <row r="103" spans="1:8">
      <c r="A103">
        <v>13030</v>
      </c>
      <c r="B103" t="str">
        <f>INDEX(TextData!B:B,MATCH(A103,TextData!A:A))</f>
        <v>クイックキュア</v>
      </c>
      <c r="C103">
        <v>3030</v>
      </c>
      <c r="D103" t="str">
        <f>INDEX(Define!Q:Q,MATCH(C103,Define!P:P))</f>
        <v>Abnormalステート解除</v>
      </c>
      <c r="E103">
        <v>0</v>
      </c>
      <c r="F103">
        <v>0</v>
      </c>
      <c r="G103">
        <v>0</v>
      </c>
      <c r="H103">
        <v>100</v>
      </c>
    </row>
    <row r="104" spans="1:9">
      <c r="A104">
        <v>13040</v>
      </c>
      <c r="B104" t="str">
        <f>INDEX(TextData!B:B,MATCH(A104,TextData!A:A))</f>
        <v>セルフシールド</v>
      </c>
      <c r="C104">
        <v>3010</v>
      </c>
      <c r="D104" t="str">
        <f>INDEX(Define!Q:Q,MATCH(C104,Define!P:P))</f>
        <v>ステート付与</v>
      </c>
      <c r="E104">
        <v>1100</v>
      </c>
      <c r="F104">
        <v>1</v>
      </c>
      <c r="G104">
        <v>25</v>
      </c>
      <c r="H104">
        <v>100</v>
      </c>
      <c r="I104" t="str">
        <f>INDEX([1]TextData!B:B,MATCH(E104,[1]TextData!A:A))</f>
        <v>ダメージカット</v>
      </c>
    </row>
    <row r="105" spans="1:9">
      <c r="A105">
        <v>13050</v>
      </c>
      <c r="B105" t="str">
        <f>INDEX(TextData!B:B,MATCH(A105,TextData!A:A))</f>
        <v>パッシブジャミング</v>
      </c>
      <c r="C105">
        <v>3010</v>
      </c>
      <c r="D105" t="str">
        <f>INDEX(Define!Q:Q,MATCH(C105,Define!P:P))</f>
        <v>ステート付与</v>
      </c>
      <c r="E105">
        <v>2090</v>
      </c>
      <c r="F105">
        <v>3</v>
      </c>
      <c r="G105">
        <v>0</v>
      </c>
      <c r="H105">
        <v>100</v>
      </c>
      <c r="I105" t="str">
        <f>INDEX([1]TextData!B:B,MATCH(E105,[1]TextData!A:A))</f>
        <v>パッシブ封じ</v>
      </c>
    </row>
    <row r="106" spans="1:9">
      <c r="A106">
        <v>13060</v>
      </c>
      <c r="B106" t="str">
        <f>INDEX(TextData!B:B,MATCH(A106,TextData!A:A))</f>
        <v>サプライカバー</v>
      </c>
      <c r="C106">
        <v>3010</v>
      </c>
      <c r="D106" t="str">
        <f>INDEX(Define!Q:Q,MATCH(C106,Define!P:P))</f>
        <v>ステート付与</v>
      </c>
      <c r="E106">
        <v>2430</v>
      </c>
      <c r="F106">
        <v>1</v>
      </c>
      <c r="G106">
        <v>0</v>
      </c>
      <c r="H106">
        <v>100</v>
      </c>
      <c r="I106" t="str">
        <f>INDEX([1]TextData!B:B,MATCH(E106,[1]TextData!A:A))</f>
        <v>かばう</v>
      </c>
    </row>
    <row r="107" spans="1:8">
      <c r="A107">
        <v>13070</v>
      </c>
      <c r="B107" t="str">
        <f>INDEX(TextData!B:B,MATCH(A107,TextData!A:A))</f>
        <v>アシッドラッシュ</v>
      </c>
      <c r="C107">
        <v>5050</v>
      </c>
      <c r="D107" t="str">
        <f>INDEX(Define!Q:Q,MATCH(C107,Define!P:P))</f>
        <v>APダメージ</v>
      </c>
      <c r="E107">
        <v>200</v>
      </c>
      <c r="F107">
        <v>0</v>
      </c>
      <c r="G107">
        <v>0</v>
      </c>
      <c r="H107">
        <v>100</v>
      </c>
    </row>
    <row r="108" spans="1:9">
      <c r="A108">
        <v>13080</v>
      </c>
      <c r="B108" t="str">
        <f>INDEX(TextData!B:B,MATCH(A108,TextData!A:A))</f>
        <v>ライフスティール</v>
      </c>
      <c r="C108">
        <v>3010</v>
      </c>
      <c r="D108" t="str">
        <f>INDEX(Define!Q:Q,MATCH(C108,Define!P:P))</f>
        <v>ステート付与</v>
      </c>
      <c r="E108">
        <v>2060</v>
      </c>
      <c r="F108">
        <v>1</v>
      </c>
      <c r="G108">
        <v>25</v>
      </c>
      <c r="H108">
        <v>100</v>
      </c>
      <c r="I108" t="str">
        <f>INDEX([1]TextData!B:B,MATCH(E108,[1]TextData!A:A))</f>
        <v>ドレイン</v>
      </c>
    </row>
    <row r="109" spans="1:9">
      <c r="A109">
        <v>13090</v>
      </c>
      <c r="B109" t="str">
        <f>INDEX(TextData!B:B,MATCH(A109,TextData!A:A))</f>
        <v>アイスセイバー</v>
      </c>
      <c r="C109">
        <v>3010</v>
      </c>
      <c r="D109" t="str">
        <f>INDEX(Define!Q:Q,MATCH(C109,Define!P:P))</f>
        <v>ステート付与</v>
      </c>
      <c r="E109">
        <v>2140</v>
      </c>
      <c r="F109">
        <v>1</v>
      </c>
      <c r="G109">
        <v>25</v>
      </c>
      <c r="H109">
        <v>100</v>
      </c>
      <c r="I109" t="str">
        <f>INDEX([1]TextData!B:B,MATCH(E109,[1]TextData!A:A))</f>
        <v>凍結</v>
      </c>
    </row>
    <row r="110" spans="1:9">
      <c r="A110">
        <v>14010</v>
      </c>
      <c r="B110" t="str">
        <f>INDEX(TextData!B:B,MATCH(A110,TextData!A:A))</f>
        <v>ディバインシールド</v>
      </c>
      <c r="C110">
        <v>3010</v>
      </c>
      <c r="D110" t="str">
        <f>INDEX(Define!Q:Q,MATCH(C110,Define!P:P))</f>
        <v>ステート付与</v>
      </c>
      <c r="E110">
        <v>2180</v>
      </c>
      <c r="F110">
        <v>3</v>
      </c>
      <c r="G110">
        <v>0</v>
      </c>
      <c r="H110">
        <v>100</v>
      </c>
      <c r="I110" t="str">
        <f>INDEX([1]TextData!B:B,MATCH(E110,[1]TextData!A:A))</f>
        <v>状態異常回避</v>
      </c>
    </row>
    <row r="111" spans="1:8">
      <c r="A111">
        <v>14020</v>
      </c>
      <c r="B111" t="str">
        <f>INDEX(TextData!B:B,MATCH(A111,TextData!A:A))</f>
        <v>ライフディバイド</v>
      </c>
      <c r="C111">
        <v>2040</v>
      </c>
      <c r="D111" t="str">
        <f>INDEX(Define!Q:Q,MATCH(C111,Define!P:P))</f>
        <v>Hpを分け与える</v>
      </c>
      <c r="E111">
        <v>25</v>
      </c>
      <c r="F111">
        <v>0</v>
      </c>
      <c r="G111">
        <v>1</v>
      </c>
      <c r="H111">
        <v>100</v>
      </c>
    </row>
    <row r="112" spans="1:9">
      <c r="A112">
        <v>14030</v>
      </c>
      <c r="B112" t="str">
        <f>INDEX(TextData!B:B,MATCH(A112,TextData!A:A))</f>
        <v>エイミングスコープ</v>
      </c>
      <c r="C112">
        <v>3010</v>
      </c>
      <c r="D112" t="str">
        <f>INDEX(Define!Q:Q,MATCH(C112,Define!P:P))</f>
        <v>ステート付与</v>
      </c>
      <c r="E112">
        <v>1081</v>
      </c>
      <c r="F112">
        <v>999</v>
      </c>
      <c r="G112">
        <v>5</v>
      </c>
      <c r="H112">
        <v>100</v>
      </c>
      <c r="I112" t="str">
        <f>INDEX([1]TextData!B:B,MATCH(E112,[1]TextData!A:A))</f>
        <v>命中アップ</v>
      </c>
    </row>
    <row r="113" spans="1:9">
      <c r="A113">
        <v>14040</v>
      </c>
      <c r="B113" t="str">
        <f>INDEX(TextData!B:B,MATCH(A113,TextData!A:A))</f>
        <v>リジェネレーション</v>
      </c>
      <c r="C113">
        <v>3010</v>
      </c>
      <c r="D113" t="str">
        <f>INDEX(Define!Q:Q,MATCH(C113,Define!P:P))</f>
        <v>ステート付与</v>
      </c>
      <c r="E113">
        <v>2040</v>
      </c>
      <c r="F113">
        <v>999</v>
      </c>
      <c r="G113">
        <v>5</v>
      </c>
      <c r="H113">
        <v>100</v>
      </c>
      <c r="I113" t="str">
        <f>INDEX([1]TextData!B:B,MATCH(E113,[1]TextData!A:A))</f>
        <v>リジェネ</v>
      </c>
    </row>
    <row r="114" spans="1:9">
      <c r="A114">
        <v>14050</v>
      </c>
      <c r="B114" t="str">
        <f>INDEX(TextData!B:B,MATCH(A114,TextData!A:A))</f>
        <v>ホープフルアイリス</v>
      </c>
      <c r="C114">
        <v>3010</v>
      </c>
      <c r="D114" t="str">
        <f>INDEX(Define!Q:Q,MATCH(C114,Define!P:P))</f>
        <v>ステート付与</v>
      </c>
      <c r="E114">
        <v>1020</v>
      </c>
      <c r="F114">
        <v>999</v>
      </c>
      <c r="G114">
        <v>10</v>
      </c>
      <c r="H114">
        <v>100</v>
      </c>
      <c r="I114" t="str">
        <f>INDEX([1]TextData!B:B,MATCH(E114,[1]TextData!A:A))</f>
        <v>最大Hpアップ</v>
      </c>
    </row>
    <row r="115" spans="1:8">
      <c r="A115">
        <v>14060</v>
      </c>
      <c r="B115" t="str">
        <f>INDEX(TextData!B:B,MATCH(A115,TextData!A:A))</f>
        <v>パッシブサプライ</v>
      </c>
      <c r="C115">
        <v>4020</v>
      </c>
      <c r="D115" t="str">
        <f>INDEX(Define!Q:Q,MATCH(C115,Define!P:P))</f>
        <v>Ct回復</v>
      </c>
      <c r="E115">
        <v>1</v>
      </c>
      <c r="F115">
        <v>0</v>
      </c>
      <c r="G115">
        <v>0</v>
      </c>
      <c r="H115">
        <v>100</v>
      </c>
    </row>
    <row r="116" spans="1:9">
      <c r="A116">
        <v>14070</v>
      </c>
      <c r="B116" t="str">
        <f>INDEX(TextData!B:B,MATCH(A116,TextData!A:A))</f>
        <v>ホーミングクルセイド</v>
      </c>
      <c r="C116">
        <v>3010</v>
      </c>
      <c r="D116" t="str">
        <f>INDEX(Define!Q:Q,MATCH(C116,Define!P:P))</f>
        <v>ステート付与</v>
      </c>
      <c r="E116">
        <v>2240</v>
      </c>
      <c r="F116">
        <v>3</v>
      </c>
      <c r="G116">
        <v>0</v>
      </c>
      <c r="H116">
        <v>100</v>
      </c>
      <c r="I116" t="str">
        <f>INDEX([1]TextData!B:B,MATCH(E116,[1]TextData!A:A))</f>
        <v>必中</v>
      </c>
    </row>
    <row r="117" spans="1:8">
      <c r="A117">
        <v>14080</v>
      </c>
      <c r="B117" t="str">
        <f>INDEX(TextData!B:B,MATCH(A117,TextData!A:A))</f>
        <v>クイックヒール</v>
      </c>
      <c r="C117">
        <v>2010</v>
      </c>
      <c r="D117" t="str">
        <f>INDEX(Define!Q:Q,MATCH(C117,Define!P:P))</f>
        <v>Hp回復</v>
      </c>
      <c r="E117">
        <v>10</v>
      </c>
      <c r="F117">
        <v>0</v>
      </c>
      <c r="G117">
        <v>0</v>
      </c>
      <c r="H117">
        <v>100</v>
      </c>
    </row>
    <row r="118" spans="1:9">
      <c r="A118">
        <v>14090</v>
      </c>
      <c r="B118" t="str">
        <f>INDEX(TextData!B:B,MATCH(A118,TextData!A:A))</f>
        <v>リレイズ</v>
      </c>
      <c r="C118">
        <v>3010</v>
      </c>
      <c r="D118" t="str">
        <f>INDEX(Define!Q:Q,MATCH(C118,Define!P:P))</f>
        <v>ステート付与</v>
      </c>
      <c r="E118">
        <v>2450</v>
      </c>
      <c r="F118">
        <v>1</v>
      </c>
      <c r="G118">
        <v>1</v>
      </c>
      <c r="H118">
        <v>100</v>
      </c>
      <c r="I118" t="str">
        <f>INDEX([1]TextData!B:B,MATCH(E118,[1]TextData!A:A))</f>
        <v>不死</v>
      </c>
    </row>
    <row r="119" spans="1:9">
      <c r="A119">
        <v>15010</v>
      </c>
      <c r="B119" t="str">
        <f>INDEX(TextData!B:B,MATCH(A119,TextData!A:A))</f>
        <v>イーグルアイ</v>
      </c>
      <c r="C119">
        <v>3010</v>
      </c>
      <c r="D119" t="str">
        <f>INDEX(Define!Q:Q,MATCH(C119,Define!P:P))</f>
        <v>ステート付与</v>
      </c>
      <c r="E119">
        <v>1070</v>
      </c>
      <c r="F119">
        <v>999</v>
      </c>
      <c r="G119">
        <v>15</v>
      </c>
      <c r="H119">
        <v>100</v>
      </c>
      <c r="I119" t="str">
        <f>INDEX([1]TextData!B:B,MATCH(E119,[1]TextData!A:A))</f>
        <v>会心率アップ</v>
      </c>
    </row>
    <row r="120" spans="1:9">
      <c r="A120">
        <v>15020</v>
      </c>
      <c r="B120" t="str">
        <f>INDEX(TextData!B:B,MATCH(A120,TextData!A:A))</f>
        <v>ネヴァーエンド</v>
      </c>
      <c r="C120">
        <v>3010</v>
      </c>
      <c r="D120" t="str">
        <f>INDEX(Define!Q:Q,MATCH(C120,Define!P:P))</f>
        <v>ステート付与</v>
      </c>
      <c r="E120">
        <v>1070</v>
      </c>
      <c r="F120">
        <v>999</v>
      </c>
      <c r="G120">
        <v>25</v>
      </c>
      <c r="H120">
        <v>100</v>
      </c>
      <c r="I120" t="str">
        <f>INDEX([1]TextData!B:B,MATCH(E120,[1]TextData!A:A))</f>
        <v>会心率アップ</v>
      </c>
    </row>
    <row r="121" spans="1:8">
      <c r="A121">
        <v>15030</v>
      </c>
      <c r="B121" t="str">
        <f>INDEX(TextData!B:B,MATCH(A121,TextData!A:A))</f>
        <v>グレイブアクト</v>
      </c>
      <c r="C121">
        <v>4020</v>
      </c>
      <c r="D121" t="str">
        <f>INDEX(Define!Q:Q,MATCH(C121,Define!P:P))</f>
        <v>Ct回復</v>
      </c>
      <c r="E121">
        <v>2</v>
      </c>
      <c r="F121">
        <v>0</v>
      </c>
      <c r="G121">
        <v>0</v>
      </c>
      <c r="H121">
        <v>100</v>
      </c>
    </row>
    <row r="122" spans="1:9">
      <c r="A122">
        <v>15040</v>
      </c>
      <c r="B122" t="str">
        <f>INDEX(TextData!B:B,MATCH(A122,TextData!A:A))</f>
        <v>スカルグラッジ</v>
      </c>
      <c r="C122">
        <v>3010</v>
      </c>
      <c r="D122" t="str">
        <f>INDEX(Define!Q:Q,MATCH(C122,Define!P:P))</f>
        <v>ステート付与</v>
      </c>
      <c r="E122">
        <v>2220</v>
      </c>
      <c r="F122">
        <v>999</v>
      </c>
      <c r="G122">
        <v>5</v>
      </c>
      <c r="H122">
        <v>100</v>
      </c>
      <c r="I122" t="str">
        <f>INDEX([1]TextData!B:B,MATCH(E122,[1]TextData!A:A))</f>
        <v>即死付与</v>
      </c>
    </row>
    <row r="123" spans="1:9">
      <c r="A123">
        <v>15050</v>
      </c>
      <c r="B123" t="str">
        <f>INDEX(TextData!B:B,MATCH(A123,TextData!A:A))</f>
        <v>ネガティブドレイン</v>
      </c>
      <c r="C123">
        <v>3010</v>
      </c>
      <c r="D123" t="str">
        <f>INDEX(Define!Q:Q,MATCH(C123,Define!P:P))</f>
        <v>ステート付与</v>
      </c>
      <c r="E123">
        <v>2060</v>
      </c>
      <c r="F123">
        <v>0</v>
      </c>
      <c r="G123">
        <v>15</v>
      </c>
      <c r="H123">
        <v>100</v>
      </c>
      <c r="I123" t="str">
        <f>INDEX([1]TextData!B:B,MATCH(E123,[1]TextData!A:A))</f>
        <v>ドレイン</v>
      </c>
    </row>
    <row r="124" spans="1:9">
      <c r="A124">
        <v>15060</v>
      </c>
      <c r="B124" t="str">
        <f>INDEX(TextData!B:B,MATCH(A124,TextData!A:A))</f>
        <v>アンデッドペイン</v>
      </c>
      <c r="C124">
        <v>3010</v>
      </c>
      <c r="D124" t="str">
        <f>INDEX(Define!Q:Q,MATCH(C124,Define!P:P))</f>
        <v>ステート付与</v>
      </c>
      <c r="E124">
        <v>2270</v>
      </c>
      <c r="F124">
        <v>0</v>
      </c>
      <c r="G124">
        <v>7</v>
      </c>
      <c r="H124">
        <v>100</v>
      </c>
      <c r="I124" t="str">
        <f>INDEX([1]TextData!B:B,MATCH(E124,[1]TextData!A:A))</f>
        <v>アンデッド</v>
      </c>
    </row>
    <row r="125" spans="1:9">
      <c r="A125">
        <v>15070</v>
      </c>
      <c r="B125" t="str">
        <f>INDEX(TextData!B:B,MATCH(A125,TextData!A:A))</f>
        <v>ジャックポッド</v>
      </c>
      <c r="C125">
        <v>3010</v>
      </c>
      <c r="D125" t="str">
        <f>INDEX(Define!Q:Q,MATCH(C125,Define!P:P))</f>
        <v>ステート付与</v>
      </c>
      <c r="E125">
        <v>1070</v>
      </c>
      <c r="F125">
        <v>1</v>
      </c>
      <c r="G125">
        <v>50</v>
      </c>
      <c r="H125">
        <v>100</v>
      </c>
      <c r="I125" t="str">
        <f>INDEX([1]TextData!B:B,MATCH(E125,[1]TextData!A:A))</f>
        <v>会心率アップ</v>
      </c>
    </row>
    <row r="126" spans="1:9">
      <c r="A126">
        <v>15070</v>
      </c>
      <c r="B126" t="str">
        <f>INDEX(TextData!B:B,MATCH(A126,TextData!A:A))</f>
        <v>ジャックポッド</v>
      </c>
      <c r="C126">
        <v>3010</v>
      </c>
      <c r="D126" t="str">
        <f>INDEX(Define!Q:Q,MATCH(C126,Define!P:P))</f>
        <v>ステート付与</v>
      </c>
      <c r="E126">
        <v>1082</v>
      </c>
      <c r="F126">
        <v>1</v>
      </c>
      <c r="G126">
        <v>50</v>
      </c>
      <c r="H126">
        <v>100</v>
      </c>
      <c r="I126" t="str">
        <f>INDEX([1]TextData!B:B,MATCH(E126,[1]TextData!A:A))</f>
        <v>命中ダウン</v>
      </c>
    </row>
    <row r="127" spans="1:8">
      <c r="A127">
        <v>15080</v>
      </c>
      <c r="B127" t="str">
        <f>INDEX(TextData!B:B,MATCH(A127,TextData!A:A))</f>
        <v>ヒールハント</v>
      </c>
      <c r="C127">
        <v>1100</v>
      </c>
      <c r="D127" t="str">
        <f>INDEX(Define!Q:Q,MATCH(C127,Define!P:P))</f>
        <v>Hp貫通ダメージ</v>
      </c>
      <c r="E127">
        <v>100</v>
      </c>
      <c r="F127">
        <v>0</v>
      </c>
      <c r="G127">
        <v>30</v>
      </c>
      <c r="H127">
        <v>100</v>
      </c>
    </row>
    <row r="128" spans="1:9">
      <c r="A128">
        <v>15090</v>
      </c>
      <c r="B128" t="str">
        <f>INDEX(TextData!B:B,MATCH(A128,TextData!A:A))</f>
        <v>クイックカース</v>
      </c>
      <c r="C128">
        <v>3010</v>
      </c>
      <c r="D128" t="str">
        <f>INDEX(Define!Q:Q,MATCH(C128,Define!P:P))</f>
        <v>ステート付与</v>
      </c>
      <c r="E128">
        <v>1043</v>
      </c>
      <c r="F128">
        <v>1</v>
      </c>
      <c r="G128">
        <v>20</v>
      </c>
      <c r="H128">
        <v>100</v>
      </c>
      <c r="I128" t="str">
        <f>INDEX([1]TextData!B:B,MATCH(E128,[1]TextData!A:A))</f>
        <v>攻撃%ダウン</v>
      </c>
    </row>
    <row r="129" spans="1:9">
      <c r="A129">
        <v>100110</v>
      </c>
      <c r="B129" t="str">
        <f>INDEX(TextData!B:B,MATCH(A129,TextData!A:A))</f>
        <v>ソーイングアームド</v>
      </c>
      <c r="C129">
        <v>3010</v>
      </c>
      <c r="D129" t="str">
        <f>INDEX(Define!Q:Q,MATCH(C129,Define!P:P))</f>
        <v>ステート付与</v>
      </c>
      <c r="E129">
        <v>2330</v>
      </c>
      <c r="F129">
        <v>999</v>
      </c>
      <c r="G129">
        <v>25</v>
      </c>
      <c r="H129">
        <v>100</v>
      </c>
      <c r="I129" t="str">
        <f>INDEX([1]TextData!B:B,MATCH(E129,[1]TextData!A:A))</f>
        <v>貫通</v>
      </c>
    </row>
    <row r="130" spans="1:8">
      <c r="A130">
        <v>100110</v>
      </c>
      <c r="B130" t="str">
        <f>INDEX(TextData!B:B,MATCH(A130,TextData!A:A))</f>
        <v>ソーイングアームド</v>
      </c>
      <c r="C130">
        <v>7010</v>
      </c>
      <c r="D130" t="str">
        <f>INDEX(Define!Q:Q,MATCH(C130,Define!P:P))</f>
        <v>行動後スキル</v>
      </c>
      <c r="E130">
        <v>11</v>
      </c>
      <c r="F130">
        <v>0</v>
      </c>
      <c r="G130">
        <v>0</v>
      </c>
      <c r="H130">
        <v>100</v>
      </c>
    </row>
    <row r="131" spans="1:8">
      <c r="A131">
        <v>100120</v>
      </c>
      <c r="B131" t="str">
        <f>INDEX(TextData!B:B,MATCH(A131,TextData!A:A))</f>
        <v>エターナルロンド</v>
      </c>
      <c r="C131">
        <v>1010</v>
      </c>
      <c r="D131" t="str">
        <f>INDEX(Define!Q:Q,MATCH(C131,Define!P:P))</f>
        <v>Hpダメージ</v>
      </c>
      <c r="E131">
        <v>400</v>
      </c>
      <c r="F131">
        <v>0</v>
      </c>
      <c r="G131">
        <v>0</v>
      </c>
      <c r="H131">
        <v>100</v>
      </c>
    </row>
    <row r="132" spans="1:8">
      <c r="A132">
        <v>100120</v>
      </c>
      <c r="B132" t="str">
        <f>INDEX(TextData!B:B,MATCH(A132,TextData!A:A))</f>
        <v>エターナルロンド</v>
      </c>
      <c r="C132">
        <v>7010</v>
      </c>
      <c r="D132" t="str">
        <f>INDEX(Define!Q:Q,MATCH(C132,Define!P:P))</f>
        <v>行動後スキル</v>
      </c>
      <c r="E132">
        <v>21</v>
      </c>
      <c r="F132">
        <v>0</v>
      </c>
      <c r="G132">
        <v>0</v>
      </c>
      <c r="H132">
        <v>100</v>
      </c>
    </row>
    <row r="133" spans="1:9">
      <c r="A133">
        <v>100210</v>
      </c>
      <c r="B133" t="str">
        <f>INDEX(TextData!B:B,MATCH(A133,TextData!A:A))</f>
        <v>アブソリュートパリィ</v>
      </c>
      <c r="C133">
        <v>3010</v>
      </c>
      <c r="D133" t="str">
        <f>INDEX(Define!Q:Q,MATCH(C133,Define!P:P))</f>
        <v>ステート付与</v>
      </c>
      <c r="E133">
        <v>1090</v>
      </c>
      <c r="F133">
        <v>3</v>
      </c>
      <c r="G133">
        <v>100</v>
      </c>
      <c r="H133">
        <v>100</v>
      </c>
      <c r="I133" t="str">
        <f>INDEX([1]TextData!B:B,MATCH(E133,[1]TextData!A:A))</f>
        <v>回避アップ</v>
      </c>
    </row>
    <row r="134" spans="1:8">
      <c r="A134">
        <v>100210</v>
      </c>
      <c r="B134" t="str">
        <f>INDEX(TextData!B:B,MATCH(A134,TextData!A:A))</f>
        <v>アブソリュートパリィ</v>
      </c>
      <c r="C134">
        <v>7010</v>
      </c>
      <c r="D134" t="str">
        <f>INDEX(Define!Q:Q,MATCH(C134,Define!P:P))</f>
        <v>行動後スキル</v>
      </c>
      <c r="E134">
        <v>11</v>
      </c>
      <c r="F134">
        <v>0</v>
      </c>
      <c r="G134">
        <v>0</v>
      </c>
      <c r="H134">
        <v>100</v>
      </c>
    </row>
    <row r="135" spans="1:8">
      <c r="A135">
        <v>100220</v>
      </c>
      <c r="B135" t="str">
        <f>INDEX(TextData!B:B,MATCH(A135,TextData!A:A))</f>
        <v>レヴェリー</v>
      </c>
      <c r="C135">
        <v>1010</v>
      </c>
      <c r="D135" t="str">
        <f>INDEX(Define!Q:Q,MATCH(C135,Define!P:P))</f>
        <v>Hpダメージ</v>
      </c>
      <c r="E135">
        <v>50</v>
      </c>
      <c r="F135">
        <v>0</v>
      </c>
      <c r="G135">
        <v>0</v>
      </c>
      <c r="H135">
        <v>100</v>
      </c>
    </row>
    <row r="136" spans="1:8">
      <c r="A136">
        <v>100220</v>
      </c>
      <c r="B136" t="str">
        <f>INDEX(TextData!B:B,MATCH(A136,TextData!A:A))</f>
        <v>レヴェリー</v>
      </c>
      <c r="C136">
        <v>7010</v>
      </c>
      <c r="D136" t="str">
        <f>INDEX(Define!Q:Q,MATCH(C136,Define!P:P))</f>
        <v>行動後スキル</v>
      </c>
      <c r="E136">
        <v>21</v>
      </c>
      <c r="F136">
        <v>0</v>
      </c>
      <c r="G136">
        <v>0</v>
      </c>
      <c r="H136">
        <v>100</v>
      </c>
    </row>
    <row r="137" spans="1:9">
      <c r="A137">
        <v>100310</v>
      </c>
      <c r="B137" t="str">
        <f>INDEX(TextData!B:B,MATCH(A137,TextData!A:A))</f>
        <v>セイクリッドバリア</v>
      </c>
      <c r="C137">
        <v>3010</v>
      </c>
      <c r="D137" t="str">
        <f>INDEX(Define!Q:Q,MATCH(C137,Define!P:P))</f>
        <v>ステート付与</v>
      </c>
      <c r="E137">
        <v>2050</v>
      </c>
      <c r="F137">
        <v>1</v>
      </c>
      <c r="G137">
        <v>0</v>
      </c>
      <c r="H137">
        <v>100</v>
      </c>
      <c r="I137" t="str">
        <f>INDEX([1]TextData!B:B,MATCH(E137,[1]TextData!A:A))</f>
        <v>攻撃無効</v>
      </c>
    </row>
    <row r="138" spans="1:8">
      <c r="A138">
        <v>100310</v>
      </c>
      <c r="B138" t="str">
        <f>INDEX(TextData!B:B,MATCH(A138,TextData!A:A))</f>
        <v>セイクリッドバリア</v>
      </c>
      <c r="C138">
        <v>7010</v>
      </c>
      <c r="D138" t="str">
        <f>INDEX(Define!Q:Q,MATCH(C138,Define!P:P))</f>
        <v>行動後スキル</v>
      </c>
      <c r="E138">
        <v>11</v>
      </c>
      <c r="F138">
        <v>0</v>
      </c>
      <c r="G138">
        <v>0</v>
      </c>
      <c r="H138">
        <v>100</v>
      </c>
    </row>
    <row r="139" spans="1:8">
      <c r="A139">
        <v>100320</v>
      </c>
      <c r="B139" t="str">
        <f>INDEX(TextData!B:B,MATCH(A139,TextData!A:A))</f>
        <v>リベンジニードル</v>
      </c>
      <c r="C139">
        <v>1090</v>
      </c>
      <c r="D139" t="str">
        <f>INDEX(Define!Q:Q,MATCH(C139,Define!P:P))</f>
        <v>受けたダメージ総計ダメージ</v>
      </c>
      <c r="E139">
        <v>100</v>
      </c>
      <c r="F139">
        <v>0</v>
      </c>
      <c r="G139">
        <v>0</v>
      </c>
      <c r="H139">
        <v>100</v>
      </c>
    </row>
    <row r="140" spans="1:8">
      <c r="A140">
        <v>100320</v>
      </c>
      <c r="B140" t="str">
        <f>INDEX(TextData!B:B,MATCH(A140,TextData!A:A))</f>
        <v>リベンジニードル</v>
      </c>
      <c r="C140">
        <v>7010</v>
      </c>
      <c r="D140" t="str">
        <f>INDEX(Define!Q:Q,MATCH(C140,Define!P:P))</f>
        <v>行動後スキル</v>
      </c>
      <c r="E140">
        <v>21</v>
      </c>
      <c r="F140">
        <v>0</v>
      </c>
      <c r="G140">
        <v>0</v>
      </c>
      <c r="H140">
        <v>100</v>
      </c>
    </row>
    <row r="141" spans="1:9">
      <c r="A141">
        <v>100410</v>
      </c>
      <c r="B141" t="str">
        <f>INDEX(TextData!B:B,MATCH(A141,TextData!A:A))</f>
        <v>アバンデンス</v>
      </c>
      <c r="C141">
        <v>3020</v>
      </c>
      <c r="D141" t="str">
        <f>INDEX(Define!Q:Q,MATCH(C141,Define!P:P))</f>
        <v>ステート解除</v>
      </c>
      <c r="E141">
        <v>1</v>
      </c>
      <c r="F141">
        <v>0</v>
      </c>
      <c r="G141">
        <v>0</v>
      </c>
      <c r="H141">
        <v>100</v>
      </c>
      <c r="I141" t="str">
        <f>INDEX([1]TextData!B:B,MATCH(E141,[1]TextData!A:A))</f>
        <v>戦闘不能</v>
      </c>
    </row>
    <row r="142" spans="1:8">
      <c r="A142">
        <v>100410</v>
      </c>
      <c r="B142" t="str">
        <f>INDEX(TextData!B:B,MATCH(A142,TextData!A:A))</f>
        <v>アバンデンス</v>
      </c>
      <c r="C142">
        <v>2010</v>
      </c>
      <c r="D142" t="str">
        <f>INDEX(Define!Q:Q,MATCH(C142,Define!P:P))</f>
        <v>Hp回復</v>
      </c>
      <c r="E142">
        <v>25</v>
      </c>
      <c r="F142">
        <v>0</v>
      </c>
      <c r="G142">
        <v>0</v>
      </c>
      <c r="H142">
        <v>100</v>
      </c>
    </row>
    <row r="143" spans="1:8">
      <c r="A143">
        <v>100410</v>
      </c>
      <c r="B143" t="str">
        <f>INDEX(TextData!B:B,MATCH(A143,TextData!A:A))</f>
        <v>アバンデンス</v>
      </c>
      <c r="C143">
        <v>7010</v>
      </c>
      <c r="D143" t="str">
        <f>INDEX(Define!Q:Q,MATCH(C143,Define!P:P))</f>
        <v>行動後スキル</v>
      </c>
      <c r="E143">
        <v>11</v>
      </c>
      <c r="F143">
        <v>0</v>
      </c>
      <c r="G143">
        <v>0</v>
      </c>
      <c r="H143">
        <v>100</v>
      </c>
    </row>
    <row r="144" spans="1:9">
      <c r="A144">
        <v>100420</v>
      </c>
      <c r="B144" t="str">
        <f>INDEX(TextData!B:B,MATCH(A144,TextData!A:A))</f>
        <v>ハーヴェスト</v>
      </c>
      <c r="C144">
        <v>3010</v>
      </c>
      <c r="D144" t="str">
        <f>INDEX(Define!Q:Q,MATCH(C144,Define!P:P))</f>
        <v>ステート付与</v>
      </c>
      <c r="E144">
        <v>2040</v>
      </c>
      <c r="F144">
        <v>999</v>
      </c>
      <c r="G144">
        <v>10</v>
      </c>
      <c r="H144">
        <v>100</v>
      </c>
      <c r="I144" t="str">
        <f>INDEX([1]TextData!B:B,MATCH(E144,[1]TextData!A:A))</f>
        <v>リジェネ</v>
      </c>
    </row>
    <row r="145" spans="1:8">
      <c r="A145">
        <v>100420</v>
      </c>
      <c r="B145" t="str">
        <f>INDEX(TextData!B:B,MATCH(A145,TextData!A:A))</f>
        <v>ハーヴェスト</v>
      </c>
      <c r="C145">
        <v>7010</v>
      </c>
      <c r="D145" t="str">
        <f>INDEX(Define!Q:Q,MATCH(C145,Define!P:P))</f>
        <v>行動後スキル</v>
      </c>
      <c r="E145">
        <v>21</v>
      </c>
      <c r="F145">
        <v>0</v>
      </c>
      <c r="G145">
        <v>0</v>
      </c>
      <c r="H145">
        <v>100</v>
      </c>
    </row>
    <row r="146" spans="1:9">
      <c r="A146">
        <v>100510</v>
      </c>
      <c r="B146" t="str">
        <f>INDEX(TextData!B:B,MATCH(A146,TextData!A:A))</f>
        <v>カースドブレイク</v>
      </c>
      <c r="C146">
        <v>3010</v>
      </c>
      <c r="D146" t="str">
        <f>INDEX(Define!Q:Q,MATCH(C146,Define!P:P))</f>
        <v>ステート付与</v>
      </c>
      <c r="E146">
        <v>2470</v>
      </c>
      <c r="F146">
        <v>1</v>
      </c>
      <c r="G146">
        <v>100</v>
      </c>
      <c r="H146">
        <v>100</v>
      </c>
      <c r="I146" t="str">
        <f>INDEX([1]TextData!B:B,MATCH(E146,[1]TextData!A:A))</f>
        <v>呪詛</v>
      </c>
    </row>
    <row r="147" spans="1:8">
      <c r="A147">
        <v>100510</v>
      </c>
      <c r="B147" t="str">
        <f>INDEX(TextData!B:B,MATCH(A147,TextData!A:A))</f>
        <v>カースドブレイク</v>
      </c>
      <c r="C147">
        <v>7010</v>
      </c>
      <c r="D147" t="str">
        <f>INDEX(Define!Q:Q,MATCH(C147,Define!P:P))</f>
        <v>行動後スキル</v>
      </c>
      <c r="E147">
        <v>11</v>
      </c>
      <c r="F147">
        <v>0</v>
      </c>
      <c r="G147">
        <v>0</v>
      </c>
      <c r="H147">
        <v>100</v>
      </c>
    </row>
    <row r="148" spans="1:9">
      <c r="A148">
        <v>100520</v>
      </c>
      <c r="B148" t="str">
        <f>INDEX(TextData!B:B,MATCH(A148,TextData!A:A))</f>
        <v>ムーンライトレイ</v>
      </c>
      <c r="C148">
        <v>3010</v>
      </c>
      <c r="D148" t="str">
        <f>INDEX(Define!Q:Q,MATCH(C148,Define!P:P))</f>
        <v>ステート付与</v>
      </c>
      <c r="E148">
        <v>2010</v>
      </c>
      <c r="F148">
        <v>2</v>
      </c>
      <c r="G148">
        <v>25</v>
      </c>
      <c r="H148">
        <v>100</v>
      </c>
      <c r="I148" t="str">
        <f>INDEX([1]TextData!B:B,MATCH(E148,[1]TextData!A:A))</f>
        <v>毒</v>
      </c>
    </row>
    <row r="149" spans="1:8">
      <c r="A149">
        <v>100520</v>
      </c>
      <c r="B149" t="str">
        <f>INDEX(TextData!B:B,MATCH(A149,TextData!A:A))</f>
        <v>ムーンライトレイ</v>
      </c>
      <c r="C149">
        <v>7010</v>
      </c>
      <c r="D149" t="str">
        <f>INDEX(Define!Q:Q,MATCH(C149,Define!P:P))</f>
        <v>行動後スキル</v>
      </c>
      <c r="E149">
        <v>21</v>
      </c>
      <c r="F149">
        <v>0</v>
      </c>
      <c r="G149">
        <v>0</v>
      </c>
      <c r="H149">
        <v>100</v>
      </c>
    </row>
    <row r="150" spans="1:8">
      <c r="A150">
        <v>100610</v>
      </c>
      <c r="B150" t="str">
        <f>INDEX(TextData!B:B,MATCH(A150,TextData!A:A))</f>
        <v>サンフレイム</v>
      </c>
      <c r="C150">
        <v>4020</v>
      </c>
      <c r="D150" t="str">
        <f>INDEX(Define!Q:Q,MATCH(C150,Define!P:P))</f>
        <v>Ct回復</v>
      </c>
      <c r="E150">
        <v>5</v>
      </c>
      <c r="F150">
        <v>0</v>
      </c>
      <c r="G150">
        <v>0</v>
      </c>
      <c r="H150">
        <v>100</v>
      </c>
    </row>
    <row r="151" spans="1:8">
      <c r="A151">
        <v>100610</v>
      </c>
      <c r="B151" t="str">
        <f>INDEX(TextData!B:B,MATCH(A151,TextData!A:A))</f>
        <v>サンフレイム</v>
      </c>
      <c r="C151">
        <v>7010</v>
      </c>
      <c r="D151" t="str">
        <f>INDEX(Define!Q:Q,MATCH(C151,Define!P:P))</f>
        <v>行動後スキル</v>
      </c>
      <c r="E151">
        <v>11</v>
      </c>
      <c r="F151">
        <v>0</v>
      </c>
      <c r="G151">
        <v>0</v>
      </c>
      <c r="H151">
        <v>100</v>
      </c>
    </row>
    <row r="152" spans="1:8">
      <c r="A152">
        <v>100620</v>
      </c>
      <c r="B152" t="str">
        <f>INDEX(TextData!B:B,MATCH(A152,TextData!A:A))</f>
        <v>フレイムタン</v>
      </c>
      <c r="C152">
        <v>1010</v>
      </c>
      <c r="D152" t="str">
        <f>INDEX(Define!Q:Q,MATCH(C152,Define!P:P))</f>
        <v>Hpダメージ</v>
      </c>
      <c r="E152">
        <v>200</v>
      </c>
      <c r="F152">
        <v>0</v>
      </c>
      <c r="G152">
        <v>0</v>
      </c>
      <c r="H152">
        <v>100</v>
      </c>
    </row>
    <row r="153" spans="1:8">
      <c r="A153">
        <v>100620</v>
      </c>
      <c r="B153" t="str">
        <f>INDEX(TextData!B:B,MATCH(A153,TextData!A:A))</f>
        <v>フレイムタン</v>
      </c>
      <c r="C153">
        <v>4010</v>
      </c>
      <c r="D153" t="str">
        <f>INDEX(Define!Q:Q,MATCH(C153,Define!P:P))</f>
        <v>Ctダメージ</v>
      </c>
      <c r="E153">
        <v>2</v>
      </c>
      <c r="F153">
        <v>0</v>
      </c>
      <c r="G153">
        <v>0</v>
      </c>
      <c r="H153">
        <v>100</v>
      </c>
    </row>
    <row r="154" spans="1:8">
      <c r="A154">
        <v>100620</v>
      </c>
      <c r="B154" t="str">
        <f>INDEX(TextData!B:B,MATCH(A154,TextData!A:A))</f>
        <v>フレイムタン</v>
      </c>
      <c r="C154">
        <v>7010</v>
      </c>
      <c r="D154" t="str">
        <f>INDEX(Define!Q:Q,MATCH(C154,Define!P:P))</f>
        <v>行動後スキル</v>
      </c>
      <c r="E154">
        <v>21</v>
      </c>
      <c r="F154">
        <v>0</v>
      </c>
      <c r="G154">
        <v>0</v>
      </c>
      <c r="H154">
        <v>100</v>
      </c>
    </row>
    <row r="155" spans="1:9">
      <c r="A155">
        <v>100710</v>
      </c>
      <c r="B155" t="str">
        <f>INDEX(TextData!B:B,MATCH(A155,TextData!A:A))</f>
        <v>ライズザフラッグ</v>
      </c>
      <c r="C155">
        <v>3010</v>
      </c>
      <c r="D155" t="str">
        <f>INDEX(Define!Q:Q,MATCH(C155,Define!P:P))</f>
        <v>ステート付与</v>
      </c>
      <c r="E155">
        <v>2420</v>
      </c>
      <c r="F155">
        <v>3</v>
      </c>
      <c r="G155">
        <v>0</v>
      </c>
      <c r="H155">
        <v>100</v>
      </c>
      <c r="I155" t="str">
        <f>INDEX([1]TextData!B:B,MATCH(E155,[1]TextData!A:A))</f>
        <v>フォロー</v>
      </c>
    </row>
    <row r="156" spans="1:8">
      <c r="A156">
        <v>100710</v>
      </c>
      <c r="B156" t="str">
        <f>INDEX(TextData!B:B,MATCH(A156,TextData!A:A))</f>
        <v>ライズザフラッグ</v>
      </c>
      <c r="C156">
        <v>7010</v>
      </c>
      <c r="D156" t="str">
        <f>INDEX(Define!Q:Q,MATCH(C156,Define!P:P))</f>
        <v>行動後スキル</v>
      </c>
      <c r="E156">
        <v>11</v>
      </c>
      <c r="F156">
        <v>0</v>
      </c>
      <c r="G156">
        <v>0</v>
      </c>
      <c r="H156">
        <v>100</v>
      </c>
    </row>
    <row r="157" spans="1:9">
      <c r="A157">
        <v>100720</v>
      </c>
      <c r="B157" t="str">
        <f>INDEX(TextData!B:B,MATCH(A157,TextData!A:A))</f>
        <v>オーバーリミット</v>
      </c>
      <c r="C157">
        <v>3010</v>
      </c>
      <c r="D157" t="str">
        <f>INDEX(Define!Q:Q,MATCH(C157,Define!P:P))</f>
        <v>ステート付与</v>
      </c>
      <c r="E157">
        <v>1040</v>
      </c>
      <c r="F157">
        <v>999</v>
      </c>
      <c r="G157">
        <v>8</v>
      </c>
      <c r="H157">
        <v>100</v>
      </c>
      <c r="I157" t="str">
        <f>INDEX([1]TextData!B:B,MATCH(E157,[1]TextData!A:A))</f>
        <v>攻撃アップ</v>
      </c>
    </row>
    <row r="158" spans="1:9">
      <c r="A158">
        <v>100720</v>
      </c>
      <c r="B158" t="str">
        <f>INDEX(TextData!B:B,MATCH(A158,TextData!A:A))</f>
        <v>オーバーリミット</v>
      </c>
      <c r="C158">
        <v>3010</v>
      </c>
      <c r="D158" t="str">
        <f>INDEX(Define!Q:Q,MATCH(C158,Define!P:P))</f>
        <v>ステート付与</v>
      </c>
      <c r="E158">
        <v>1050</v>
      </c>
      <c r="F158">
        <v>999</v>
      </c>
      <c r="G158">
        <v>8</v>
      </c>
      <c r="H158">
        <v>100</v>
      </c>
      <c r="I158" t="str">
        <f>INDEX([1]TextData!B:B,MATCH(E158,[1]TextData!A:A))</f>
        <v>防御アップ</v>
      </c>
    </row>
    <row r="159" spans="1:8">
      <c r="A159">
        <v>100720</v>
      </c>
      <c r="B159" t="str">
        <f>INDEX(TextData!B:B,MATCH(A159,TextData!A:A))</f>
        <v>オーバーリミット</v>
      </c>
      <c r="C159">
        <v>7010</v>
      </c>
      <c r="D159" t="str">
        <f>INDEX(Define!Q:Q,MATCH(C159,Define!P:P))</f>
        <v>行動後スキル</v>
      </c>
      <c r="E159">
        <v>21</v>
      </c>
      <c r="F159">
        <v>0</v>
      </c>
      <c r="G159">
        <v>0</v>
      </c>
      <c r="H159">
        <v>100</v>
      </c>
    </row>
    <row r="160" spans="1:9">
      <c r="A160">
        <v>100810</v>
      </c>
      <c r="B160" t="str">
        <f>INDEX(TextData!B:B,MATCH(A160,TextData!A:A))</f>
        <v>テンパランス</v>
      </c>
      <c r="C160">
        <v>3010</v>
      </c>
      <c r="D160" t="str">
        <f>INDEX(Define!Q:Q,MATCH(C160,Define!P:P))</f>
        <v>ステート付与</v>
      </c>
      <c r="E160">
        <v>1040</v>
      </c>
      <c r="F160">
        <v>999</v>
      </c>
      <c r="G160">
        <v>8</v>
      </c>
      <c r="H160">
        <v>100</v>
      </c>
      <c r="I160" t="str">
        <f>INDEX([1]TextData!B:B,MATCH(E160,[1]TextData!A:A))</f>
        <v>攻撃アップ</v>
      </c>
    </row>
    <row r="161" spans="1:9">
      <c r="A161">
        <v>100810</v>
      </c>
      <c r="B161" t="str">
        <f>INDEX(TextData!B:B,MATCH(A161,TextData!A:A))</f>
        <v>テンパランス</v>
      </c>
      <c r="C161">
        <v>3010</v>
      </c>
      <c r="D161" t="str">
        <f>INDEX(Define!Q:Q,MATCH(C161,Define!P:P))</f>
        <v>ステート付与</v>
      </c>
      <c r="E161">
        <v>1050</v>
      </c>
      <c r="F161">
        <v>999</v>
      </c>
      <c r="G161">
        <v>8</v>
      </c>
      <c r="H161">
        <v>100</v>
      </c>
      <c r="I161" t="str">
        <f>INDEX([1]TextData!B:B,MATCH(E161,[1]TextData!A:A))</f>
        <v>防御アップ</v>
      </c>
    </row>
    <row r="162" spans="1:8">
      <c r="A162">
        <v>100810</v>
      </c>
      <c r="B162" t="str">
        <f>INDEX(TextData!B:B,MATCH(A162,TextData!A:A))</f>
        <v>テンパランス</v>
      </c>
      <c r="C162">
        <v>7010</v>
      </c>
      <c r="D162" t="str">
        <f>INDEX(Define!Q:Q,MATCH(C162,Define!P:P))</f>
        <v>行動後スキル</v>
      </c>
      <c r="E162">
        <v>11</v>
      </c>
      <c r="F162">
        <v>0</v>
      </c>
      <c r="G162">
        <v>0</v>
      </c>
      <c r="H162">
        <v>100</v>
      </c>
    </row>
    <row r="163" spans="1:8">
      <c r="A163">
        <v>100820</v>
      </c>
      <c r="B163" t="str">
        <f>INDEX(TextData!B:B,MATCH(A163,TextData!A:A))</f>
        <v>シエルクルセイダー</v>
      </c>
      <c r="C163">
        <v>1010</v>
      </c>
      <c r="D163" t="str">
        <f>INDEX(Define!Q:Q,MATCH(C163,Define!P:P))</f>
        <v>Hpダメージ</v>
      </c>
      <c r="E163">
        <v>300</v>
      </c>
      <c r="F163">
        <v>0</v>
      </c>
      <c r="G163">
        <v>0</v>
      </c>
      <c r="H163">
        <v>100</v>
      </c>
    </row>
    <row r="164" spans="1:8">
      <c r="A164">
        <v>100820</v>
      </c>
      <c r="B164" t="str">
        <f>INDEX(TextData!B:B,MATCH(A164,TextData!A:A))</f>
        <v>シエルクルセイダー</v>
      </c>
      <c r="C164">
        <v>7010</v>
      </c>
      <c r="D164" t="str">
        <f>INDEX(Define!Q:Q,MATCH(C164,Define!P:P))</f>
        <v>行動後スキル</v>
      </c>
      <c r="E164">
        <v>21</v>
      </c>
      <c r="F164">
        <v>0</v>
      </c>
      <c r="G164">
        <v>0</v>
      </c>
      <c r="H164">
        <v>100</v>
      </c>
    </row>
    <row r="165" spans="1:8">
      <c r="A165">
        <v>100910</v>
      </c>
      <c r="B165" t="str">
        <f>INDEX(TextData!B:B,MATCH(A165,TextData!A:A))</f>
        <v>バーニングカウンター</v>
      </c>
      <c r="C165">
        <v>1010</v>
      </c>
      <c r="D165" t="str">
        <f>INDEX(Define!Q:Q,MATCH(C165,Define!P:P))</f>
        <v>Hpダメージ</v>
      </c>
      <c r="E165">
        <v>350</v>
      </c>
      <c r="F165">
        <v>0</v>
      </c>
      <c r="G165">
        <v>0</v>
      </c>
      <c r="H165">
        <v>100</v>
      </c>
    </row>
    <row r="166" spans="1:8">
      <c r="A166">
        <v>100910</v>
      </c>
      <c r="B166" t="str">
        <f>INDEX(TextData!B:B,MATCH(A166,TextData!A:A))</f>
        <v>バーニングカウンター</v>
      </c>
      <c r="C166">
        <v>7010</v>
      </c>
      <c r="D166" t="str">
        <f>INDEX(Define!Q:Q,MATCH(C166,Define!P:P))</f>
        <v>行動後スキル</v>
      </c>
      <c r="E166">
        <v>100911</v>
      </c>
      <c r="F166">
        <v>0</v>
      </c>
      <c r="G166">
        <v>0</v>
      </c>
      <c r="H166">
        <v>100</v>
      </c>
    </row>
    <row r="167" spans="1:8">
      <c r="A167">
        <v>100911</v>
      </c>
      <c r="B167" t="str">
        <f>INDEX(TextData!B:B,MATCH(A167,TextData!A:A))</f>
        <v>バーニングカウンター</v>
      </c>
      <c r="C167">
        <v>7010</v>
      </c>
      <c r="D167" t="str">
        <f>INDEX(Define!Q:Q,MATCH(C167,Define!P:P))</f>
        <v>行動後スキル</v>
      </c>
      <c r="E167">
        <v>11</v>
      </c>
      <c r="F167">
        <v>0</v>
      </c>
      <c r="G167">
        <v>0</v>
      </c>
      <c r="H167">
        <v>100</v>
      </c>
    </row>
    <row r="168" spans="1:8">
      <c r="A168">
        <v>100920</v>
      </c>
      <c r="B168" t="str">
        <f>INDEX(TextData!B:B,MATCH(A168,TextData!A:A))</f>
        <v>プロミネンス</v>
      </c>
      <c r="C168">
        <v>1010</v>
      </c>
      <c r="D168" t="str">
        <f>INDEX(Define!Q:Q,MATCH(C168,Define!P:P))</f>
        <v>Hpダメージ</v>
      </c>
      <c r="E168">
        <v>400</v>
      </c>
      <c r="F168">
        <v>0</v>
      </c>
      <c r="G168">
        <v>0</v>
      </c>
      <c r="H168">
        <v>100</v>
      </c>
    </row>
    <row r="169" spans="1:8">
      <c r="A169">
        <v>100920</v>
      </c>
      <c r="B169" t="str">
        <f>INDEX(TextData!B:B,MATCH(A169,TextData!A:A))</f>
        <v>プロミネンス</v>
      </c>
      <c r="C169">
        <v>7010</v>
      </c>
      <c r="D169" t="str">
        <f>INDEX(Define!Q:Q,MATCH(C169,Define!P:P))</f>
        <v>行動後スキル</v>
      </c>
      <c r="E169">
        <v>100921</v>
      </c>
      <c r="F169">
        <v>0</v>
      </c>
      <c r="G169">
        <v>0</v>
      </c>
      <c r="H169">
        <v>100</v>
      </c>
    </row>
    <row r="170" spans="1:9">
      <c r="A170">
        <v>100921</v>
      </c>
      <c r="B170" t="str">
        <f>INDEX(TextData!B:B,MATCH(A170,TextData!A:A))</f>
        <v>プロミネンス</v>
      </c>
      <c r="C170">
        <v>3010</v>
      </c>
      <c r="D170" t="str">
        <f>INDEX(Define!Q:Q,MATCH(C170,Define!P:P))</f>
        <v>ステート付与</v>
      </c>
      <c r="E170">
        <v>1070</v>
      </c>
      <c r="F170">
        <v>999</v>
      </c>
      <c r="G170">
        <v>30</v>
      </c>
      <c r="H170">
        <v>100</v>
      </c>
      <c r="I170" t="str">
        <f>INDEX([1]TextData!B:B,MATCH(E170,[1]TextData!A:A))</f>
        <v>会心率アップ</v>
      </c>
    </row>
    <row r="171" spans="1:8">
      <c r="A171">
        <v>100921</v>
      </c>
      <c r="B171" t="str">
        <f>INDEX(TextData!B:B,MATCH(A171,TextData!A:A))</f>
        <v>プロミネンス</v>
      </c>
      <c r="C171">
        <v>7010</v>
      </c>
      <c r="D171" t="str">
        <f>INDEX(Define!Q:Q,MATCH(C171,Define!P:P))</f>
        <v>行動後スキル</v>
      </c>
      <c r="E171">
        <v>21</v>
      </c>
      <c r="F171">
        <v>0</v>
      </c>
      <c r="G171">
        <v>0</v>
      </c>
      <c r="H171">
        <v>100</v>
      </c>
    </row>
    <row r="172" spans="1:8">
      <c r="A172">
        <v>101010</v>
      </c>
      <c r="B172" t="str">
        <f>INDEX(TextData!B:B,MATCH(A172,TextData!A:A))</f>
        <v>エウロス</v>
      </c>
      <c r="C172">
        <v>12010</v>
      </c>
      <c r="D172" t="str">
        <f>INDEX(Define!Q:Q,MATCH(C172,Define!P:P))</f>
        <v>最後に受けたAbnormalを相手に移す</v>
      </c>
      <c r="E172">
        <v>0</v>
      </c>
      <c r="F172">
        <v>0</v>
      </c>
      <c r="G172">
        <v>0</v>
      </c>
      <c r="H172">
        <v>100</v>
      </c>
    </row>
    <row r="173" spans="1:8">
      <c r="A173">
        <v>101010</v>
      </c>
      <c r="B173" t="str">
        <f>INDEX(TextData!B:B,MATCH(A173,TextData!A:A))</f>
        <v>エウロス</v>
      </c>
      <c r="C173">
        <v>13010</v>
      </c>
      <c r="D173" t="str">
        <f>INDEX(Define!Q:Q,MATCH(C173,Define!P:P))</f>
        <v>対象のバフを奪い取る</v>
      </c>
      <c r="E173">
        <v>0</v>
      </c>
      <c r="F173">
        <v>0</v>
      </c>
      <c r="G173">
        <v>0</v>
      </c>
      <c r="H173">
        <v>100</v>
      </c>
    </row>
    <row r="174" spans="1:8">
      <c r="A174">
        <v>101010</v>
      </c>
      <c r="B174" t="str">
        <f>INDEX(TextData!B:B,MATCH(A174,TextData!A:A))</f>
        <v>エウロス</v>
      </c>
      <c r="C174">
        <v>7010</v>
      </c>
      <c r="D174" t="str">
        <f>INDEX(Define!Q:Q,MATCH(C174,Define!P:P))</f>
        <v>行動後スキル</v>
      </c>
      <c r="E174">
        <v>11</v>
      </c>
      <c r="F174">
        <v>0</v>
      </c>
      <c r="G174">
        <v>0</v>
      </c>
      <c r="H174">
        <v>100</v>
      </c>
    </row>
    <row r="175" spans="1:8">
      <c r="A175">
        <v>101020</v>
      </c>
      <c r="B175" t="str">
        <f>INDEX(TextData!B:B,MATCH(A175,TextData!A:A))</f>
        <v>ボレアス</v>
      </c>
      <c r="C175">
        <v>1010</v>
      </c>
      <c r="D175" t="str">
        <f>INDEX(Define!Q:Q,MATCH(C175,Define!P:P))</f>
        <v>Hpダメージ</v>
      </c>
      <c r="E175">
        <v>300</v>
      </c>
      <c r="F175">
        <v>0</v>
      </c>
      <c r="G175">
        <v>0</v>
      </c>
      <c r="H175">
        <v>100</v>
      </c>
    </row>
    <row r="176" spans="1:8">
      <c r="A176">
        <v>101020</v>
      </c>
      <c r="B176" t="str">
        <f>INDEX(TextData!B:B,MATCH(A176,TextData!A:A))</f>
        <v>ボレアス</v>
      </c>
      <c r="C176">
        <v>7010</v>
      </c>
      <c r="D176" t="str">
        <f>INDEX(Define!Q:Q,MATCH(C176,Define!P:P))</f>
        <v>行動後スキル</v>
      </c>
      <c r="E176">
        <v>21</v>
      </c>
      <c r="F176">
        <v>0</v>
      </c>
      <c r="G176">
        <v>0</v>
      </c>
      <c r="H176">
        <v>100</v>
      </c>
    </row>
    <row r="177" spans="1:9">
      <c r="A177">
        <v>101110</v>
      </c>
      <c r="B177" t="str">
        <f>INDEX(TextData!B:B,MATCH(A177,TextData!A:A))</f>
        <v>アバランシュ</v>
      </c>
      <c r="C177">
        <v>3070</v>
      </c>
      <c r="D177" t="str">
        <f>INDEX(Define!Q:Q,MATCH(C177,Define!P:P))</f>
        <v>ステートの効果を変更</v>
      </c>
      <c r="E177">
        <v>2140</v>
      </c>
      <c r="F177">
        <v>1</v>
      </c>
      <c r="G177">
        <v>200</v>
      </c>
      <c r="H177">
        <v>100</v>
      </c>
      <c r="I177" t="str">
        <f>INDEX([1]TextData!B:B,MATCH(E177,[1]TextData!A:A))</f>
        <v>凍結</v>
      </c>
    </row>
    <row r="178" spans="1:8">
      <c r="A178">
        <v>101110</v>
      </c>
      <c r="B178" t="str">
        <f>INDEX(TextData!B:B,MATCH(A178,TextData!A:A))</f>
        <v>アバランシュ</v>
      </c>
      <c r="C178">
        <v>7010</v>
      </c>
      <c r="D178" t="str">
        <f>INDEX(Define!Q:Q,MATCH(C178,Define!P:P))</f>
        <v>行動後スキル</v>
      </c>
      <c r="E178">
        <v>11</v>
      </c>
      <c r="F178">
        <v>0</v>
      </c>
      <c r="G178">
        <v>0</v>
      </c>
      <c r="H178">
        <v>100</v>
      </c>
    </row>
    <row r="179" spans="1:8">
      <c r="A179">
        <v>101120</v>
      </c>
      <c r="B179" t="str">
        <f>INDEX(TextData!B:B,MATCH(A179,TextData!A:A))</f>
        <v>ブリザードコフィン</v>
      </c>
      <c r="C179">
        <v>1040</v>
      </c>
      <c r="D179" t="str">
        <f>INDEX(Define!Q:Q,MATCH(C179,Define!P:P))</f>
        <v>特定ステートダメージ</v>
      </c>
      <c r="E179">
        <v>400</v>
      </c>
      <c r="F179">
        <v>200</v>
      </c>
      <c r="G179">
        <v>2140</v>
      </c>
      <c r="H179">
        <v>100</v>
      </c>
    </row>
    <row r="180" spans="1:8">
      <c r="A180">
        <v>101120</v>
      </c>
      <c r="B180" t="str">
        <f>INDEX(TextData!B:B,MATCH(A180,TextData!A:A))</f>
        <v>ブリザードコフィン</v>
      </c>
      <c r="C180">
        <v>7010</v>
      </c>
      <c r="D180" t="str">
        <f>INDEX(Define!Q:Q,MATCH(C180,Define!P:P))</f>
        <v>行動後スキル</v>
      </c>
      <c r="E180">
        <v>21</v>
      </c>
      <c r="F180">
        <v>0</v>
      </c>
      <c r="G180">
        <v>0</v>
      </c>
      <c r="H180">
        <v>100</v>
      </c>
    </row>
    <row r="181" ht="11" customHeight="1" spans="1:9">
      <c r="A181">
        <v>200210</v>
      </c>
      <c r="B181" t="str">
        <f>INDEX(TextData!B:B,MATCH(A181,TextData!A:A))</f>
        <v>マイトレインフォース</v>
      </c>
      <c r="C181">
        <v>3010</v>
      </c>
      <c r="D181" t="str">
        <f>INDEX(Define!Q:Q,MATCH(C181,Define!P:P))</f>
        <v>ステート付与</v>
      </c>
      <c r="E181">
        <v>1040</v>
      </c>
      <c r="F181">
        <v>999</v>
      </c>
      <c r="G181">
        <v>20</v>
      </c>
      <c r="H181">
        <v>100</v>
      </c>
      <c r="I181" t="str">
        <f>INDEX([1]TextData!B:B,MATCH(E181,[1]TextData!A:A))</f>
        <v>攻撃アップ</v>
      </c>
    </row>
    <row r="182" spans="1:8">
      <c r="A182">
        <v>200210</v>
      </c>
      <c r="B182" t="str">
        <f>INDEX(TextData!B:B,MATCH(A182,TextData!A:A))</f>
        <v>マイトレインフォース</v>
      </c>
      <c r="C182">
        <v>7010</v>
      </c>
      <c r="D182" t="str">
        <f>INDEX(Define!Q:Q,MATCH(C182,Define!P:P))</f>
        <v>行動後スキル</v>
      </c>
      <c r="E182">
        <v>11</v>
      </c>
      <c r="F182">
        <v>0</v>
      </c>
      <c r="G182">
        <v>0</v>
      </c>
      <c r="H182">
        <v>100</v>
      </c>
    </row>
    <row r="183" spans="1:8">
      <c r="A183">
        <v>200220</v>
      </c>
      <c r="B183" t="str">
        <f>INDEX(TextData!B:B,MATCH(A183,TextData!A:A))</f>
        <v>カタストロフィ</v>
      </c>
      <c r="C183">
        <v>1010</v>
      </c>
      <c r="D183" t="str">
        <f>INDEX(Define!Q:Q,MATCH(C183,Define!P:P))</f>
        <v>Hpダメージ</v>
      </c>
      <c r="E183">
        <v>500</v>
      </c>
      <c r="F183">
        <v>0</v>
      </c>
      <c r="G183">
        <v>0</v>
      </c>
      <c r="H183">
        <v>100</v>
      </c>
    </row>
    <row r="184" spans="1:8">
      <c r="A184">
        <v>200220</v>
      </c>
      <c r="B184" t="str">
        <f>INDEX(TextData!B:B,MATCH(A184,TextData!A:A))</f>
        <v>カタストロフィ</v>
      </c>
      <c r="C184">
        <v>7010</v>
      </c>
      <c r="D184" t="str">
        <f>INDEX(Define!Q:Q,MATCH(C184,Define!P:P))</f>
        <v>行動後スキル</v>
      </c>
      <c r="E184">
        <v>21</v>
      </c>
      <c r="F184">
        <v>0</v>
      </c>
      <c r="G184">
        <v>0</v>
      </c>
      <c r="H184">
        <v>100</v>
      </c>
    </row>
    <row r="185" spans="1:9">
      <c r="A185">
        <v>200230</v>
      </c>
      <c r="B185" t="str">
        <f>INDEX(TextData!B:B,MATCH(A185,TextData!A:A))</f>
        <v>悪魔(ベリト)</v>
      </c>
      <c r="C185">
        <v>3010</v>
      </c>
      <c r="D185" t="str">
        <f>INDEX(Define!Q:Q,MATCH(C185,Define!P:P))</f>
        <v>ステート付与</v>
      </c>
      <c r="E185">
        <v>1040</v>
      </c>
      <c r="F185">
        <v>999</v>
      </c>
      <c r="G185">
        <v>20</v>
      </c>
      <c r="H185">
        <v>100</v>
      </c>
      <c r="I185" t="str">
        <f>INDEX([1]TextData!B:B,MATCH(E185,[1]TextData!A:A))</f>
        <v>攻撃アップ</v>
      </c>
    </row>
    <row r="186" spans="1:9">
      <c r="A186">
        <v>200310</v>
      </c>
      <c r="B186" t="str">
        <f>INDEX(TextData!B:B,MATCH(A186,TextData!A:A))</f>
        <v>プルガシオン</v>
      </c>
      <c r="C186">
        <v>3010</v>
      </c>
      <c r="D186" t="str">
        <f>INDEX(Define!Q:Q,MATCH(C186,Define!P:P))</f>
        <v>ステート付与</v>
      </c>
      <c r="E186">
        <v>2040</v>
      </c>
      <c r="F186">
        <v>3</v>
      </c>
      <c r="G186">
        <v>25</v>
      </c>
      <c r="H186">
        <v>100</v>
      </c>
      <c r="I186" t="str">
        <f>INDEX([1]TextData!B:B,MATCH(E186,[1]TextData!A:A))</f>
        <v>リジェネ</v>
      </c>
    </row>
    <row r="187" spans="1:8">
      <c r="A187">
        <v>200310</v>
      </c>
      <c r="B187" t="str">
        <f>INDEX(TextData!B:B,MATCH(A187,TextData!A:A))</f>
        <v>プルガシオン</v>
      </c>
      <c r="C187">
        <v>7010</v>
      </c>
      <c r="D187" t="str">
        <f>INDEX(Define!Q:Q,MATCH(C187,Define!P:P))</f>
        <v>行動後スキル</v>
      </c>
      <c r="E187">
        <v>11</v>
      </c>
      <c r="F187">
        <v>0</v>
      </c>
      <c r="G187">
        <v>0</v>
      </c>
      <c r="H187">
        <v>100</v>
      </c>
    </row>
    <row r="188" spans="1:9">
      <c r="A188">
        <v>200320</v>
      </c>
      <c r="B188" t="str">
        <f>INDEX(TextData!B:B,MATCH(A188,TextData!A:A))</f>
        <v>プリエステス</v>
      </c>
      <c r="C188">
        <v>3010</v>
      </c>
      <c r="D188" t="str">
        <f>INDEX(Define!Q:Q,MATCH(C188,Define!P:P))</f>
        <v>ステート付与</v>
      </c>
      <c r="E188">
        <v>2030</v>
      </c>
      <c r="F188">
        <v>999</v>
      </c>
      <c r="G188">
        <v>50</v>
      </c>
      <c r="H188">
        <v>100</v>
      </c>
      <c r="I188" t="str">
        <f>INDEX([1]TextData!B:B,MATCH(E188,[1]TextData!A:A))</f>
        <v>カウンタ</v>
      </c>
    </row>
    <row r="189" spans="1:8">
      <c r="A189">
        <v>200320</v>
      </c>
      <c r="B189" t="str">
        <f>INDEX(TextData!B:B,MATCH(A189,TextData!A:A))</f>
        <v>プリエステス</v>
      </c>
      <c r="C189">
        <v>7010</v>
      </c>
      <c r="D189" t="str">
        <f>INDEX(Define!Q:Q,MATCH(C189,Define!P:P))</f>
        <v>行動後スキル</v>
      </c>
      <c r="E189">
        <v>21</v>
      </c>
      <c r="F189">
        <v>0</v>
      </c>
      <c r="G189">
        <v>0</v>
      </c>
      <c r="H189">
        <v>100</v>
      </c>
    </row>
    <row r="190" spans="1:9">
      <c r="A190">
        <v>200330</v>
      </c>
      <c r="B190" t="str">
        <f>INDEX(TextData!B:B,MATCH(A190,TextData!A:A))</f>
        <v>悪魔(パイモン)</v>
      </c>
      <c r="C190">
        <v>3010</v>
      </c>
      <c r="D190" t="str">
        <f>INDEX(Define!Q:Q,MATCH(C190,Define!P:P))</f>
        <v>ステート付与</v>
      </c>
      <c r="E190">
        <v>2340</v>
      </c>
      <c r="F190">
        <v>999</v>
      </c>
      <c r="G190">
        <v>0</v>
      </c>
      <c r="H190">
        <v>100</v>
      </c>
      <c r="I190" t="str">
        <f>INDEX([1]TextData!B:B,MATCH(E190,[1]TextData!A:A))</f>
        <v>対象列化</v>
      </c>
    </row>
    <row r="191" spans="1:9">
      <c r="A191">
        <v>200330</v>
      </c>
      <c r="B191" t="str">
        <f>INDEX(TextData!B:B,MATCH(A191,TextData!A:A))</f>
        <v>悪魔(パイモン)</v>
      </c>
      <c r="C191">
        <v>3010</v>
      </c>
      <c r="D191" t="str">
        <f>INDEX(Define!Q:Q,MATCH(C191,Define!P:P))</f>
        <v>ステート付与</v>
      </c>
      <c r="E191">
        <v>2190</v>
      </c>
      <c r="F191">
        <v>999</v>
      </c>
      <c r="G191">
        <v>0</v>
      </c>
      <c r="H191">
        <v>100</v>
      </c>
      <c r="I191" t="str">
        <f>INDEX([1]TextData!B:B,MATCH(E191,[1]TextData!A:A))</f>
        <v>対象範囲延長</v>
      </c>
    </row>
    <row r="192" spans="1:8">
      <c r="A192">
        <v>200410</v>
      </c>
      <c r="B192" t="str">
        <f>INDEX(TextData!B:B,MATCH(A192,TextData!A:A))</f>
        <v>コウソクテンショウ</v>
      </c>
      <c r="C192">
        <v>1010</v>
      </c>
      <c r="D192" t="str">
        <f>INDEX(Define!Q:Q,MATCH(C192,Define!P:P))</f>
        <v>Hpダメージ</v>
      </c>
      <c r="E192">
        <v>300</v>
      </c>
      <c r="F192">
        <v>0</v>
      </c>
      <c r="G192">
        <v>0</v>
      </c>
      <c r="H192">
        <v>100</v>
      </c>
    </row>
    <row r="193" spans="1:8">
      <c r="A193">
        <v>200410</v>
      </c>
      <c r="B193" t="str">
        <f>INDEX(TextData!B:B,MATCH(A193,TextData!A:A))</f>
        <v>コウソクテンショウ</v>
      </c>
      <c r="C193">
        <v>7010</v>
      </c>
      <c r="D193" t="str">
        <f>INDEX(Define!Q:Q,MATCH(C193,Define!P:P))</f>
        <v>行動後スキル</v>
      </c>
      <c r="E193">
        <v>200411</v>
      </c>
      <c r="F193">
        <v>0</v>
      </c>
      <c r="G193">
        <v>0</v>
      </c>
      <c r="H193">
        <v>100</v>
      </c>
    </row>
    <row r="194" spans="1:9">
      <c r="A194">
        <v>200411</v>
      </c>
      <c r="B194" t="str">
        <f>INDEX(TextData!B:B,MATCH(A194,TextData!A:A))</f>
        <v>コウソクテンショウ</v>
      </c>
      <c r="C194">
        <v>3010</v>
      </c>
      <c r="D194" t="str">
        <f>INDEX(Define!Q:Q,MATCH(C194,Define!P:P))</f>
        <v>ステート付与</v>
      </c>
      <c r="E194">
        <v>2060</v>
      </c>
      <c r="F194">
        <v>999</v>
      </c>
      <c r="G194">
        <v>25</v>
      </c>
      <c r="H194">
        <v>100</v>
      </c>
      <c r="I194" t="str">
        <f>INDEX([1]TextData!B:B,MATCH(E194,[1]TextData!A:A))</f>
        <v>ドレイン</v>
      </c>
    </row>
    <row r="195" spans="1:8">
      <c r="A195">
        <v>200411</v>
      </c>
      <c r="B195" t="str">
        <f>INDEX(TextData!B:B,MATCH(A195,TextData!A:A))</f>
        <v>コウソクテンショウ</v>
      </c>
      <c r="C195">
        <v>7010</v>
      </c>
      <c r="D195" t="str">
        <f>INDEX(Define!Q:Q,MATCH(C195,Define!P:P))</f>
        <v>行動後スキル</v>
      </c>
      <c r="E195">
        <v>11</v>
      </c>
      <c r="F195">
        <v>0</v>
      </c>
      <c r="G195">
        <v>0</v>
      </c>
      <c r="H195">
        <v>100</v>
      </c>
    </row>
    <row r="196" spans="1:8">
      <c r="A196">
        <v>200420</v>
      </c>
      <c r="B196" t="str">
        <f>INDEX(TextData!B:B,MATCH(A196,TextData!A:A))</f>
        <v>アンチバフ</v>
      </c>
      <c r="C196">
        <v>3050</v>
      </c>
      <c r="D196" t="str">
        <f>INDEX(Define!Q:Q,MATCH(C196,Define!P:P))</f>
        <v>バフステート解除</v>
      </c>
      <c r="E196">
        <v>0</v>
      </c>
      <c r="F196">
        <v>0</v>
      </c>
      <c r="G196">
        <v>0</v>
      </c>
      <c r="H196">
        <v>100</v>
      </c>
    </row>
    <row r="197" spans="1:8">
      <c r="A197">
        <v>200420</v>
      </c>
      <c r="B197" t="str">
        <f>INDEX(TextData!B:B,MATCH(A197,TextData!A:A))</f>
        <v>アンチバフ</v>
      </c>
      <c r="C197">
        <v>7010</v>
      </c>
      <c r="D197" t="str">
        <f>INDEX(Define!Q:Q,MATCH(C197,Define!P:P))</f>
        <v>行動後スキル</v>
      </c>
      <c r="E197">
        <v>21</v>
      </c>
      <c r="F197">
        <v>0</v>
      </c>
      <c r="G197">
        <v>0</v>
      </c>
      <c r="H197">
        <v>100</v>
      </c>
    </row>
    <row r="198" spans="1:8">
      <c r="A198">
        <v>200430</v>
      </c>
      <c r="B198" t="str">
        <f>INDEX(TextData!B:B,MATCH(A198,TextData!A:A))</f>
        <v>悪魔(アンドラス)</v>
      </c>
      <c r="C198">
        <v>6100</v>
      </c>
      <c r="D198" t="str">
        <f>INDEX(Define!Q:Q,MATCH(C198,Define!P:P))</f>
        <v>指定魔法の攻撃回数を増やす(強化限定)</v>
      </c>
      <c r="E198">
        <v>2010</v>
      </c>
      <c r="F198">
        <v>0</v>
      </c>
      <c r="G198">
        <v>3</v>
      </c>
      <c r="H198">
        <v>100</v>
      </c>
    </row>
    <row r="199" spans="1:9">
      <c r="A199">
        <v>200510</v>
      </c>
      <c r="B199" t="str">
        <f>INDEX(TextData!B:B,MATCH(A199,TextData!A:A))</f>
        <v>カウントダウン</v>
      </c>
      <c r="C199">
        <v>3010</v>
      </c>
      <c r="D199" t="str">
        <f>INDEX(Define!Q:Q,MATCH(C199,Define!P:P))</f>
        <v>ステート付与</v>
      </c>
      <c r="E199">
        <v>2050</v>
      </c>
      <c r="F199">
        <v>10</v>
      </c>
      <c r="G199">
        <v>0</v>
      </c>
      <c r="H199">
        <v>100</v>
      </c>
      <c r="I199" t="str">
        <f>INDEX([1]TextData!B:B,MATCH(E199,[1]TextData!A:A))</f>
        <v>攻撃無効</v>
      </c>
    </row>
    <row r="200" spans="1:8">
      <c r="A200">
        <v>200510</v>
      </c>
      <c r="B200" t="str">
        <f>INDEX(TextData!B:B,MATCH(A200,TextData!A:A))</f>
        <v>カウントダウン</v>
      </c>
      <c r="C200">
        <v>7010</v>
      </c>
      <c r="D200" t="str">
        <f>INDEX(Define!Q:Q,MATCH(C200,Define!P:P))</f>
        <v>行動後スキル</v>
      </c>
      <c r="E200">
        <v>11</v>
      </c>
      <c r="F200">
        <v>0</v>
      </c>
      <c r="G200">
        <v>0</v>
      </c>
      <c r="H200">
        <v>100</v>
      </c>
    </row>
    <row r="201" spans="1:9">
      <c r="A201">
        <v>200520</v>
      </c>
      <c r="B201" t="str">
        <f>INDEX(TextData!B:B,MATCH(A201,TextData!A:A))</f>
        <v>グラウンドゼロ</v>
      </c>
      <c r="C201">
        <v>3010</v>
      </c>
      <c r="D201" t="str">
        <f>INDEX(Define!Q:Q,MATCH(C201,Define!P:P))</f>
        <v>ステート付与</v>
      </c>
      <c r="E201">
        <v>1</v>
      </c>
      <c r="F201">
        <v>0</v>
      </c>
      <c r="G201">
        <v>0</v>
      </c>
      <c r="H201">
        <v>100</v>
      </c>
      <c r="I201" t="str">
        <f>INDEX([1]TextData!B:B,MATCH(E201,[1]TextData!A:A))</f>
        <v>戦闘不能</v>
      </c>
    </row>
    <row r="202" spans="1:8">
      <c r="A202">
        <v>200520</v>
      </c>
      <c r="B202" t="str">
        <f>INDEX(TextData!B:B,MATCH(A202,TextData!A:A))</f>
        <v>グラウンドゼロ</v>
      </c>
      <c r="C202">
        <v>11010</v>
      </c>
      <c r="D202" t="str">
        <f>INDEX(Define!Q:Q,MATCH(C202,Define!P:P))</f>
        <v>命中判定しない</v>
      </c>
      <c r="E202">
        <v>0</v>
      </c>
      <c r="F202">
        <v>0</v>
      </c>
      <c r="G202">
        <v>0</v>
      </c>
      <c r="H202">
        <v>100</v>
      </c>
    </row>
    <row r="203" spans="1:8">
      <c r="A203">
        <v>200520</v>
      </c>
      <c r="B203" t="str">
        <f>INDEX(TextData!B:B,MATCH(A203,TextData!A:A))</f>
        <v>グラウンドゼロ</v>
      </c>
      <c r="C203">
        <v>7010</v>
      </c>
      <c r="D203" t="str">
        <f>INDEX(Define!Q:Q,MATCH(C203,Define!P:P))</f>
        <v>行動後スキル</v>
      </c>
      <c r="E203">
        <v>21</v>
      </c>
      <c r="F203">
        <v>0</v>
      </c>
      <c r="G203">
        <v>0</v>
      </c>
      <c r="H203">
        <v>100</v>
      </c>
    </row>
    <row r="204" spans="1:9">
      <c r="A204">
        <v>200530</v>
      </c>
      <c r="B204" t="str">
        <f>INDEX(TextData!B:B,MATCH(A204,TextData!A:A))</f>
        <v>悪魔(ビフロンス)</v>
      </c>
      <c r="C204">
        <v>3010</v>
      </c>
      <c r="D204" t="str">
        <f>INDEX(Define!Q:Q,MATCH(C204,Define!P:P))</f>
        <v>ステート付与</v>
      </c>
      <c r="E204">
        <v>2410</v>
      </c>
      <c r="F204">
        <v>999</v>
      </c>
      <c r="G204">
        <v>25</v>
      </c>
      <c r="H204">
        <v>100</v>
      </c>
      <c r="I204" t="str">
        <f>INDEX([1]TextData!B:B,MATCH(E204,[1]TextData!A:A))</f>
        <v>シールド</v>
      </c>
    </row>
    <row r="205" spans="1:9">
      <c r="A205">
        <v>201010</v>
      </c>
      <c r="B205" t="str">
        <f>INDEX(TextData!B:B,MATCH(A205,TextData!A:A))</f>
        <v>カオスペイン</v>
      </c>
      <c r="C205">
        <v>3010</v>
      </c>
      <c r="D205" t="str">
        <f>INDEX(Define!Q:Q,MATCH(C205,Define!P:P))</f>
        <v>ステート付与</v>
      </c>
      <c r="E205">
        <v>2010</v>
      </c>
      <c r="F205">
        <v>2</v>
      </c>
      <c r="G205">
        <v>25</v>
      </c>
      <c r="H205">
        <v>100</v>
      </c>
      <c r="I205" t="str">
        <f>INDEX([1]TextData!B:B,MATCH(E205,[1]TextData!A:A))</f>
        <v>毒</v>
      </c>
    </row>
    <row r="206" spans="1:8">
      <c r="A206">
        <v>201010</v>
      </c>
      <c r="B206" t="str">
        <f>INDEX(TextData!B:B,MATCH(A206,TextData!A:A))</f>
        <v>カオスペイン</v>
      </c>
      <c r="C206">
        <v>7010</v>
      </c>
      <c r="D206" t="str">
        <f>INDEX(Define!Q:Q,MATCH(C206,Define!P:P))</f>
        <v>行動後スキル</v>
      </c>
      <c r="E206">
        <v>11</v>
      </c>
      <c r="F206">
        <v>0</v>
      </c>
      <c r="G206">
        <v>0</v>
      </c>
      <c r="H206">
        <v>100</v>
      </c>
    </row>
    <row r="207" spans="1:8">
      <c r="A207">
        <v>201020</v>
      </c>
      <c r="B207" t="str">
        <f>INDEX(TextData!B:B,MATCH(A207,TextData!A:A))</f>
        <v>フォールンワン</v>
      </c>
      <c r="C207">
        <v>2030</v>
      </c>
      <c r="D207" t="str">
        <f>INDEX(Define!Q:Q,MATCH(C207,Define!P:P))</f>
        <v>対象のHpを1にする</v>
      </c>
      <c r="E207">
        <v>0</v>
      </c>
      <c r="F207">
        <v>0</v>
      </c>
      <c r="G207">
        <v>0</v>
      </c>
      <c r="H207">
        <v>100</v>
      </c>
    </row>
    <row r="208" spans="1:8">
      <c r="A208">
        <v>201020</v>
      </c>
      <c r="B208" t="str">
        <f>INDEX(TextData!B:B,MATCH(A208,TextData!A:A))</f>
        <v>フォールンワン</v>
      </c>
      <c r="C208">
        <v>11010</v>
      </c>
      <c r="D208" t="str">
        <f>INDEX(Define!Q:Q,MATCH(C208,Define!P:P))</f>
        <v>命中判定しない</v>
      </c>
      <c r="E208">
        <v>0</v>
      </c>
      <c r="F208">
        <v>0</v>
      </c>
      <c r="G208">
        <v>0</v>
      </c>
      <c r="H208">
        <v>100</v>
      </c>
    </row>
    <row r="209" spans="1:8">
      <c r="A209">
        <v>201020</v>
      </c>
      <c r="B209" t="str">
        <f>INDEX(TextData!B:B,MATCH(A209,TextData!A:A))</f>
        <v>フォールンワン</v>
      </c>
      <c r="C209">
        <v>7010</v>
      </c>
      <c r="D209" t="str">
        <f>INDEX(Define!Q:Q,MATCH(C209,Define!P:P))</f>
        <v>行動後スキル</v>
      </c>
      <c r="E209">
        <v>21</v>
      </c>
      <c r="F209">
        <v>0</v>
      </c>
      <c r="G209">
        <v>0</v>
      </c>
      <c r="H209">
        <v>100</v>
      </c>
    </row>
    <row r="210" spans="1:9">
      <c r="A210">
        <v>201030</v>
      </c>
      <c r="B210" t="str">
        <f>INDEX(TextData!B:B,MATCH(A210,TextData!A:A))</f>
        <v>アンリマユ</v>
      </c>
      <c r="C210">
        <v>3010</v>
      </c>
      <c r="D210" t="str">
        <f>INDEX(Define!Q:Q,MATCH(C210,Define!P:P))</f>
        <v>ステート付与</v>
      </c>
      <c r="E210">
        <v>2050</v>
      </c>
      <c r="F210">
        <v>2</v>
      </c>
      <c r="G210">
        <v>0</v>
      </c>
      <c r="H210">
        <v>100</v>
      </c>
      <c r="I210" t="str">
        <f>INDEX([1]TextData!B:B,MATCH(E210,[1]TextData!A:A))</f>
        <v>攻撃無効</v>
      </c>
    </row>
    <row r="211" spans="1:9">
      <c r="A211">
        <v>300010</v>
      </c>
      <c r="B211" t="str">
        <f>INDEX(TextData!B:B,MATCH(A211,TextData!A:A))</f>
        <v>ライフブースト</v>
      </c>
      <c r="C211">
        <v>3010</v>
      </c>
      <c r="D211" t="str">
        <f>INDEX(Define!Q:Q,MATCH(C211,Define!P:P))</f>
        <v>ステート付与</v>
      </c>
      <c r="E211">
        <v>1020</v>
      </c>
      <c r="F211">
        <v>999</v>
      </c>
      <c r="G211">
        <v>5</v>
      </c>
      <c r="H211">
        <v>100</v>
      </c>
      <c r="I211" t="str">
        <f>INDEX([1]TextData!B:B,MATCH(E211,[1]TextData!A:A))</f>
        <v>最大Hpアップ</v>
      </c>
    </row>
    <row r="212" spans="1:8">
      <c r="A212">
        <v>300020</v>
      </c>
      <c r="B212" t="str">
        <f>INDEX(TextData!B:B,MATCH(A212,TextData!A:A))</f>
        <v>スピリットチャージ</v>
      </c>
      <c r="C212">
        <v>4040</v>
      </c>
      <c r="D212" t="str">
        <f>INDEX(Define!Q:Q,MATCH(C212,Define!P:P))</f>
        <v>指定魔法のCｔ回復</v>
      </c>
      <c r="E212">
        <v>1</v>
      </c>
      <c r="F212">
        <v>0</v>
      </c>
      <c r="G212">
        <v>0</v>
      </c>
      <c r="H212">
        <v>100</v>
      </c>
    </row>
    <row r="213" spans="1:9">
      <c r="A213">
        <v>300030</v>
      </c>
      <c r="B213" t="str">
        <f>INDEX(TextData!B:B,MATCH(A213,TextData!A:A))</f>
        <v>フォースライズ</v>
      </c>
      <c r="C213">
        <v>3010</v>
      </c>
      <c r="D213" t="str">
        <f>INDEX(Define!Q:Q,MATCH(C213,Define!P:P))</f>
        <v>ステート付与</v>
      </c>
      <c r="E213">
        <v>1040</v>
      </c>
      <c r="F213">
        <v>999</v>
      </c>
      <c r="G213">
        <v>4</v>
      </c>
      <c r="H213">
        <v>100</v>
      </c>
      <c r="I213" t="str">
        <f>INDEX([1]TextData!B:B,MATCH(E213,[1]TextData!A:A))</f>
        <v>攻撃アップ</v>
      </c>
    </row>
    <row r="214" spans="1:9">
      <c r="A214">
        <v>300040</v>
      </c>
      <c r="B214" t="str">
        <f>INDEX(TextData!B:B,MATCH(A214,TextData!A:A))</f>
        <v>ディフェンスオーラ</v>
      </c>
      <c r="C214">
        <v>3010</v>
      </c>
      <c r="D214" t="str">
        <f>INDEX(Define!Q:Q,MATCH(C214,Define!P:P))</f>
        <v>ステート付与</v>
      </c>
      <c r="E214">
        <v>1050</v>
      </c>
      <c r="F214">
        <v>999</v>
      </c>
      <c r="G214">
        <v>4</v>
      </c>
      <c r="H214">
        <v>100</v>
      </c>
      <c r="I214" t="str">
        <f>INDEX([1]TextData!B:B,MATCH(E214,[1]TextData!A:A))</f>
        <v>防御アップ</v>
      </c>
    </row>
    <row r="215" spans="1:9">
      <c r="A215">
        <v>300050</v>
      </c>
      <c r="B215" t="str">
        <f>INDEX(TextData!B:B,MATCH(A215,TextData!A:A))</f>
        <v>ラピッドムーブ</v>
      </c>
      <c r="C215">
        <v>3010</v>
      </c>
      <c r="D215" t="str">
        <f>INDEX(Define!Q:Q,MATCH(C215,Define!P:P))</f>
        <v>ステート付与</v>
      </c>
      <c r="E215">
        <v>1060</v>
      </c>
      <c r="F215">
        <v>999</v>
      </c>
      <c r="G215">
        <v>3</v>
      </c>
      <c r="H215">
        <v>100</v>
      </c>
      <c r="I215" t="str">
        <f>INDEX([1]TextData!B:B,MATCH(E215,[1]TextData!A:A))</f>
        <v>速度アップ</v>
      </c>
    </row>
    <row r="216" spans="1:9">
      <c r="A216">
        <v>300130</v>
      </c>
      <c r="B216" t="str">
        <f>INDEX(TextData!B:B,MATCH(A216,TextData!A:A))</f>
        <v>アタックブレイク</v>
      </c>
      <c r="C216">
        <v>3010</v>
      </c>
      <c r="D216" t="str">
        <f>INDEX(Define!Q:Q,MATCH(C216,Define!P:P))</f>
        <v>ステート付与</v>
      </c>
      <c r="E216">
        <v>1041</v>
      </c>
      <c r="F216">
        <v>999</v>
      </c>
      <c r="G216">
        <v>4</v>
      </c>
      <c r="H216">
        <v>100</v>
      </c>
      <c r="I216" t="str">
        <f>INDEX([1]TextData!B:B,MATCH(E216,[1]TextData!A:A))</f>
        <v>攻撃ダウン</v>
      </c>
    </row>
    <row r="217" spans="1:9">
      <c r="A217">
        <v>300140</v>
      </c>
      <c r="B217" t="str">
        <f>INDEX(TextData!B:B,MATCH(A217,TextData!A:A))</f>
        <v>シールドバニッシュ</v>
      </c>
      <c r="C217">
        <v>3010</v>
      </c>
      <c r="D217" t="str">
        <f>INDEX(Define!Q:Q,MATCH(C217,Define!P:P))</f>
        <v>ステート付与</v>
      </c>
      <c r="E217">
        <v>1051</v>
      </c>
      <c r="F217">
        <v>999</v>
      </c>
      <c r="G217">
        <v>4</v>
      </c>
      <c r="H217">
        <v>100</v>
      </c>
      <c r="I217" t="str">
        <f>INDEX([1]TextData!B:B,MATCH(E217,[1]TextData!A:A))</f>
        <v>防御ダウン</v>
      </c>
    </row>
    <row r="218" spans="1:8">
      <c r="A218">
        <v>300210</v>
      </c>
      <c r="B218" t="str">
        <f>INDEX(TextData!B:B,MATCH(A218,TextData!A:A))</f>
        <v>エーテルリチャージ</v>
      </c>
      <c r="C218">
        <v>4020</v>
      </c>
      <c r="D218" t="str">
        <f>INDEX(Define!Q:Q,MATCH(C218,Define!P:P))</f>
        <v>Ct回復</v>
      </c>
      <c r="E218">
        <v>1</v>
      </c>
      <c r="F218">
        <v>0</v>
      </c>
      <c r="G218">
        <v>0</v>
      </c>
      <c r="H218">
        <v>100</v>
      </c>
    </row>
    <row r="219" spans="1:9">
      <c r="A219">
        <v>300220</v>
      </c>
      <c r="B219" t="str">
        <f>INDEX(TextData!B:B,MATCH(A219,TextData!A:A))</f>
        <v>リカバリーエンハンス</v>
      </c>
      <c r="C219">
        <v>3010</v>
      </c>
      <c r="D219" t="str">
        <f>INDEX(Define!Q:Q,MATCH(C219,Define!P:P))</f>
        <v>ステート付与</v>
      </c>
      <c r="E219">
        <v>2460</v>
      </c>
      <c r="F219">
        <v>999</v>
      </c>
      <c r="G219">
        <v>5</v>
      </c>
      <c r="H219">
        <v>100</v>
      </c>
      <c r="I219" t="str">
        <f>INDEX([1]TextData!B:B,MATCH(E219,[1]TextData!A:A))</f>
        <v>Hp回復効果アップ</v>
      </c>
    </row>
    <row r="220" spans="1:9">
      <c r="A220">
        <v>300230</v>
      </c>
      <c r="B220" t="str">
        <f>INDEX(TextData!B:B,MATCH(A220,TextData!A:A))</f>
        <v>ヴェンジェンス</v>
      </c>
      <c r="C220">
        <v>3010</v>
      </c>
      <c r="D220" t="str">
        <f>INDEX(Define!Q:Q,MATCH(C220,Define!P:P))</f>
        <v>ステート付与</v>
      </c>
      <c r="E220">
        <v>2030</v>
      </c>
      <c r="F220">
        <v>999</v>
      </c>
      <c r="G220">
        <v>30</v>
      </c>
      <c r="H220">
        <v>100</v>
      </c>
      <c r="I220" t="str">
        <f>INDEX([1]TextData!B:B,MATCH(E220,[1]TextData!A:A))</f>
        <v>カウンタ</v>
      </c>
    </row>
    <row r="221" spans="1:8">
      <c r="A221">
        <v>301010</v>
      </c>
      <c r="B221" t="str">
        <f>INDEX(TextData!B:B,MATCH(A221,TextData!A:A))</f>
        <v>ディケイドリセット</v>
      </c>
      <c r="C221">
        <v>5012</v>
      </c>
      <c r="D221" t="str">
        <f>INDEX(Define!Q:Q,MATCH(C221,Define!P:P))</f>
        <v>ActionResult扱いでAP指定</v>
      </c>
      <c r="E221">
        <v>0</v>
      </c>
      <c r="F221">
        <v>0</v>
      </c>
      <c r="G221">
        <v>0</v>
      </c>
      <c r="H221">
        <v>100</v>
      </c>
    </row>
    <row r="222" spans="1:9">
      <c r="A222">
        <v>301020</v>
      </c>
      <c r="B222" t="str">
        <f>INDEX(TextData!B:B,MATCH(A222,TextData!A:A))</f>
        <v>ウォーリアーブラッド</v>
      </c>
      <c r="C222">
        <v>3010</v>
      </c>
      <c r="D222" t="str">
        <f>INDEX(Define!Q:Q,MATCH(C222,Define!P:P))</f>
        <v>ステート付与</v>
      </c>
      <c r="E222">
        <v>1040</v>
      </c>
      <c r="F222">
        <v>999</v>
      </c>
      <c r="G222">
        <v>8</v>
      </c>
      <c r="H222">
        <v>100</v>
      </c>
      <c r="I222" t="str">
        <f>INDEX([1]TextData!B:B,MATCH(E222,[1]TextData!A:A))</f>
        <v>攻撃アップ</v>
      </c>
    </row>
    <row r="223" spans="1:9">
      <c r="A223">
        <v>301030</v>
      </c>
      <c r="B223" t="str">
        <f>INDEX(TextData!B:B,MATCH(A223,TextData!A:A))</f>
        <v>トライアングルガード</v>
      </c>
      <c r="C223">
        <v>3010</v>
      </c>
      <c r="D223" t="str">
        <f>INDEX(Define!Q:Q,MATCH(C223,Define!P:P))</f>
        <v>ステート付与</v>
      </c>
      <c r="E223">
        <v>1100</v>
      </c>
      <c r="F223">
        <v>1</v>
      </c>
      <c r="G223">
        <v>30</v>
      </c>
      <c r="H223">
        <v>100</v>
      </c>
      <c r="I223" t="str">
        <f>INDEX([1]TextData!B:B,MATCH(E223,[1]TextData!A:A))</f>
        <v>ダメージカット</v>
      </c>
    </row>
    <row r="224" spans="1:9">
      <c r="A224">
        <v>301040</v>
      </c>
      <c r="B224" t="str">
        <f>INDEX(TextData!B:B,MATCH(A224,TextData!A:A))</f>
        <v>セーフティバリア</v>
      </c>
      <c r="C224">
        <v>3010</v>
      </c>
      <c r="D224" t="str">
        <f>INDEX(Define!Q:Q,MATCH(C224,Define!P:P))</f>
        <v>ステート付与</v>
      </c>
      <c r="E224">
        <v>2050</v>
      </c>
      <c r="F224">
        <v>1</v>
      </c>
      <c r="G224">
        <v>0</v>
      </c>
      <c r="H224">
        <v>100</v>
      </c>
      <c r="I224" t="str">
        <f>INDEX([1]TextData!B:B,MATCH(E224,[1]TextData!A:A))</f>
        <v>攻撃無効</v>
      </c>
    </row>
    <row r="225" spans="1:9">
      <c r="A225">
        <v>301050</v>
      </c>
      <c r="B225" t="str">
        <f>INDEX(TextData!B:B,MATCH(A225,TextData!A:A))</f>
        <v>ヒロインズハイ</v>
      </c>
      <c r="C225">
        <v>3010</v>
      </c>
      <c r="D225" t="str">
        <f>INDEX(Define!Q:Q,MATCH(C225,Define!P:P))</f>
        <v>ステート付与</v>
      </c>
      <c r="E225">
        <v>1020</v>
      </c>
      <c r="F225">
        <v>999</v>
      </c>
      <c r="G225">
        <v>15</v>
      </c>
      <c r="H225">
        <v>100</v>
      </c>
      <c r="I225" t="str">
        <f>INDEX([1]TextData!B:B,MATCH(E225,[1]TextData!A:A))</f>
        <v>最大Hpアップ</v>
      </c>
    </row>
    <row r="226" spans="1:9">
      <c r="A226">
        <v>301060</v>
      </c>
      <c r="B226" t="str">
        <f>INDEX(TextData!B:B,MATCH(A226,TextData!A:A))</f>
        <v>セカンドステージ</v>
      </c>
      <c r="C226">
        <v>3020</v>
      </c>
      <c r="D226" t="str">
        <f>INDEX(Define!Q:Q,MATCH(C226,Define!P:P))</f>
        <v>ステート解除</v>
      </c>
      <c r="E226">
        <v>1</v>
      </c>
      <c r="F226">
        <v>0</v>
      </c>
      <c r="G226">
        <v>0</v>
      </c>
      <c r="H226">
        <v>100</v>
      </c>
      <c r="I226" t="str">
        <f>INDEX([1]TextData!B:B,MATCH(E226,[1]TextData!A:A))</f>
        <v>戦闘不能</v>
      </c>
    </row>
    <row r="227" spans="1:8">
      <c r="A227">
        <v>301060</v>
      </c>
      <c r="B227" t="str">
        <f>INDEX(TextData!B:B,MATCH(A227,TextData!A:A))</f>
        <v>セカンドステージ</v>
      </c>
      <c r="C227">
        <v>2030</v>
      </c>
      <c r="D227" t="str">
        <f>INDEX(Define!Q:Q,MATCH(C227,Define!P:P))</f>
        <v>対象のHpを1にする</v>
      </c>
      <c r="E227">
        <v>0</v>
      </c>
      <c r="F227">
        <v>0</v>
      </c>
      <c r="G227">
        <v>0</v>
      </c>
      <c r="H227">
        <v>100</v>
      </c>
    </row>
    <row r="228" spans="1:8">
      <c r="A228">
        <v>301060</v>
      </c>
      <c r="B228" t="str">
        <f>INDEX(TextData!B:B,MATCH(A228,TextData!A:A))</f>
        <v>セカンドステージ</v>
      </c>
      <c r="C228">
        <v>2010</v>
      </c>
      <c r="D228" t="str">
        <f>INDEX(Define!Q:Q,MATCH(C228,Define!P:P))</f>
        <v>Hp回復</v>
      </c>
      <c r="E228">
        <v>20</v>
      </c>
      <c r="F228">
        <v>0</v>
      </c>
      <c r="G228">
        <v>0</v>
      </c>
      <c r="H228">
        <v>100</v>
      </c>
    </row>
    <row r="229" spans="1:9">
      <c r="A229">
        <v>301070</v>
      </c>
      <c r="B229" t="str">
        <f>INDEX(TextData!B:B,MATCH(A229,TextData!A:A))</f>
        <v>ハイヒットポイント</v>
      </c>
      <c r="C229">
        <v>3010</v>
      </c>
      <c r="D229" t="str">
        <f>INDEX(Define!Q:Q,MATCH(C229,Define!P:P))</f>
        <v>ステート付与</v>
      </c>
      <c r="E229">
        <v>1020</v>
      </c>
      <c r="F229">
        <v>999</v>
      </c>
      <c r="G229">
        <v>10</v>
      </c>
      <c r="H229">
        <v>100</v>
      </c>
      <c r="I229" t="str">
        <f>INDEX([1]TextData!B:B,MATCH(E229,[1]TextData!A:A))</f>
        <v>最大Hpアップ</v>
      </c>
    </row>
    <row r="230" spans="1:8">
      <c r="A230">
        <v>301080</v>
      </c>
      <c r="B230" t="str">
        <f>INDEX(TextData!B:B,MATCH(A230,TextData!A:A))</f>
        <v>セプタブラスト</v>
      </c>
      <c r="C230">
        <v>1030</v>
      </c>
      <c r="D230" t="str">
        <f>INDEX(Define!Q:Q,MATCH(C230,Define!P:P))</f>
        <v>Hp固定ダメージ</v>
      </c>
      <c r="E230">
        <v>50</v>
      </c>
      <c r="F230">
        <v>0</v>
      </c>
      <c r="G230">
        <v>0</v>
      </c>
      <c r="H230">
        <v>100</v>
      </c>
    </row>
    <row r="231" spans="1:9">
      <c r="A231">
        <v>301090</v>
      </c>
      <c r="B231" t="str">
        <f>INDEX(TextData!B:B,MATCH(A231,TextData!A:A))</f>
        <v>イニシャルブロッカー</v>
      </c>
      <c r="C231">
        <v>3010</v>
      </c>
      <c r="D231" t="str">
        <f>INDEX(Define!Q:Q,MATCH(C231,Define!P:P))</f>
        <v>ステート付与</v>
      </c>
      <c r="E231">
        <v>2410</v>
      </c>
      <c r="F231">
        <v>3</v>
      </c>
      <c r="G231">
        <v>25</v>
      </c>
      <c r="H231">
        <v>100</v>
      </c>
      <c r="I231" t="str">
        <f>INDEX([1]TextData!B:B,MATCH(E231,[1]TextData!A:A))</f>
        <v>シールド</v>
      </c>
    </row>
    <row r="232" spans="1:8">
      <c r="A232">
        <v>301100</v>
      </c>
      <c r="B232" t="str">
        <f>INDEX(TextData!B:B,MATCH(A232,TextData!A:A))</f>
        <v>ファーストテイク</v>
      </c>
      <c r="C232">
        <v>5020</v>
      </c>
      <c r="D232" t="str">
        <f>INDEX(Define!Q:Q,MATCH(C232,Define!P:P))</f>
        <v>Ap回復</v>
      </c>
      <c r="E232">
        <v>200</v>
      </c>
      <c r="F232">
        <v>0</v>
      </c>
      <c r="G232">
        <v>0</v>
      </c>
      <c r="H232">
        <v>100</v>
      </c>
    </row>
    <row r="233" spans="1:8">
      <c r="A233">
        <v>401010</v>
      </c>
      <c r="B233" t="str">
        <f>INDEX(TextData!B:B,MATCH(A233,TextData!A:A))</f>
        <v>ファイアボール+</v>
      </c>
      <c r="C233">
        <v>6010</v>
      </c>
      <c r="D233" t="str">
        <f>INDEX(Define!Q:Q,MATCH(C233,Define!P:P))</f>
        <v>指定のFeatureのParam1を増やす</v>
      </c>
      <c r="E233">
        <v>1010</v>
      </c>
      <c r="F233">
        <v>0</v>
      </c>
      <c r="G233">
        <v>250</v>
      </c>
      <c r="H233">
        <v>100</v>
      </c>
    </row>
    <row r="234" spans="1:8">
      <c r="A234">
        <v>401020</v>
      </c>
      <c r="B234" t="str">
        <f>INDEX(TextData!B:B,MATCH(A234,TextData!A:A))</f>
        <v>バーンストーム+</v>
      </c>
      <c r="C234">
        <v>6010</v>
      </c>
      <c r="D234" t="str">
        <f>INDEX(Define!Q:Q,MATCH(C234,Define!P:P))</f>
        <v>指定のFeatureのParam1を増やす</v>
      </c>
      <c r="E234">
        <v>1020</v>
      </c>
      <c r="F234">
        <v>0</v>
      </c>
      <c r="G234">
        <v>250</v>
      </c>
      <c r="H234">
        <v>100</v>
      </c>
    </row>
    <row r="235" spans="1:8">
      <c r="A235">
        <v>401030</v>
      </c>
      <c r="B235" t="str">
        <f>INDEX(TextData!B:B,MATCH(A235,TextData!A:A))</f>
        <v>ヒートスタンプ+</v>
      </c>
      <c r="C235">
        <v>6010</v>
      </c>
      <c r="D235" t="str">
        <f>INDEX(Define!Q:Q,MATCH(C235,Define!P:P))</f>
        <v>指定のFeatureのParam1を増やす</v>
      </c>
      <c r="E235">
        <v>1030</v>
      </c>
      <c r="F235">
        <v>0</v>
      </c>
      <c r="G235">
        <v>2</v>
      </c>
      <c r="H235">
        <v>100</v>
      </c>
    </row>
    <row r="236" spans="1:8">
      <c r="A236">
        <v>401040</v>
      </c>
      <c r="B236" t="str">
        <f>INDEX(TextData!B:B,MATCH(A236,TextData!A:A))</f>
        <v>ソードアダプト+</v>
      </c>
      <c r="C236">
        <v>6010</v>
      </c>
      <c r="D236" t="str">
        <f>INDEX(Define!Q:Q,MATCH(C236,Define!P:P))</f>
        <v>指定のFeatureのParam1を増やす</v>
      </c>
      <c r="E236">
        <v>1040</v>
      </c>
      <c r="F236">
        <v>0</v>
      </c>
      <c r="G236">
        <v>15</v>
      </c>
      <c r="H236">
        <v>100</v>
      </c>
    </row>
    <row r="237" spans="1:8">
      <c r="A237">
        <v>401050</v>
      </c>
      <c r="B237" t="str">
        <f>INDEX(TextData!B:B,MATCH(A237,TextData!A:A))</f>
        <v>フレイムレイン+</v>
      </c>
      <c r="C237">
        <v>6010</v>
      </c>
      <c r="D237" t="str">
        <f>INDEX(Define!Q:Q,MATCH(C237,Define!P:P))</f>
        <v>指定のFeatureのParam1を増やす</v>
      </c>
      <c r="E237">
        <v>1050</v>
      </c>
      <c r="F237">
        <v>0</v>
      </c>
      <c r="G237">
        <v>60</v>
      </c>
      <c r="H237">
        <v>100</v>
      </c>
    </row>
    <row r="238" spans="1:8">
      <c r="A238">
        <v>401060</v>
      </c>
      <c r="B238" t="str">
        <f>INDEX(TextData!B:B,MATCH(A238,TextData!A:A))</f>
        <v>イクスティンクション+</v>
      </c>
      <c r="C238">
        <v>6010</v>
      </c>
      <c r="D238" t="str">
        <f>INDEX(Define!Q:Q,MATCH(C238,Define!P:P))</f>
        <v>指定のFeatureのParam1を増やす</v>
      </c>
      <c r="E238">
        <v>1060</v>
      </c>
      <c r="F238">
        <v>0</v>
      </c>
      <c r="G238">
        <v>400</v>
      </c>
      <c r="H238">
        <v>100</v>
      </c>
    </row>
    <row r="239" spans="1:8">
      <c r="A239">
        <v>401070</v>
      </c>
      <c r="B239" t="str">
        <f>INDEX(TextData!B:B,MATCH(A239,TextData!A:A))</f>
        <v>バーニングソウル+</v>
      </c>
      <c r="C239">
        <v>6080</v>
      </c>
      <c r="D239" t="str">
        <f>INDEX(Define!Q:Q,MATCH(C239,Define!P:P))</f>
        <v>指定魔法のCTリセット値を変更する</v>
      </c>
      <c r="E239">
        <v>1070</v>
      </c>
      <c r="F239">
        <v>0</v>
      </c>
      <c r="G239">
        <v>2</v>
      </c>
      <c r="H239">
        <v>100</v>
      </c>
    </row>
    <row r="240" spans="1:8">
      <c r="A240">
        <v>401080</v>
      </c>
      <c r="B240" t="str">
        <f>INDEX(TextData!B:B,MATCH(A240,TextData!A:A))</f>
        <v>レイジングバウンサー+</v>
      </c>
      <c r="C240">
        <v>6030</v>
      </c>
      <c r="D240" t="str">
        <f>INDEX(Define!Q:Q,MATCH(C240,Define!P:P))</f>
        <v>指定のFeatureのParam3を増やす</v>
      </c>
      <c r="E240">
        <v>1080</v>
      </c>
      <c r="F240">
        <v>0</v>
      </c>
      <c r="G240">
        <v>45</v>
      </c>
      <c r="H240">
        <v>100</v>
      </c>
    </row>
    <row r="241" spans="1:8">
      <c r="A241">
        <v>402010</v>
      </c>
      <c r="B241" t="str">
        <f>INDEX(TextData!B:B,MATCH(A241,TextData!A:A))</f>
        <v>ディスチャージ+</v>
      </c>
      <c r="C241">
        <v>6010</v>
      </c>
      <c r="D241" t="str">
        <f>INDEX(Define!Q:Q,MATCH(C241,Define!P:P))</f>
        <v>指定のFeatureのParam1を増やす</v>
      </c>
      <c r="E241">
        <v>2010</v>
      </c>
      <c r="F241">
        <v>0</v>
      </c>
      <c r="G241">
        <v>250</v>
      </c>
      <c r="H241">
        <v>100</v>
      </c>
    </row>
    <row r="242" spans="1:8">
      <c r="A242">
        <v>402020</v>
      </c>
      <c r="B242" t="str">
        <f>INDEX(TextData!B:B,MATCH(A242,TextData!A:A))</f>
        <v>イベイドコード+</v>
      </c>
      <c r="C242">
        <v>6030</v>
      </c>
      <c r="D242" t="str">
        <f>INDEX(Define!Q:Q,MATCH(C242,Define!P:P))</f>
        <v>指定のFeatureのParam3を増やす</v>
      </c>
      <c r="E242">
        <v>2020</v>
      </c>
      <c r="F242">
        <v>0</v>
      </c>
      <c r="G242">
        <v>25</v>
      </c>
      <c r="H242">
        <v>100</v>
      </c>
    </row>
    <row r="243" spans="1:8">
      <c r="A243">
        <v>402030</v>
      </c>
      <c r="B243" t="str">
        <f>INDEX(TextData!B:B,MATCH(A243,TextData!A:A))</f>
        <v>ショックインパルス+</v>
      </c>
      <c r="C243">
        <v>6080</v>
      </c>
      <c r="D243" t="str">
        <f>INDEX(Define!Q:Q,MATCH(C243,Define!P:P))</f>
        <v>指定魔法のCTリセット値を変更する</v>
      </c>
      <c r="E243">
        <v>2030</v>
      </c>
      <c r="F243">
        <v>0</v>
      </c>
      <c r="G243">
        <v>2</v>
      </c>
      <c r="H243">
        <v>100</v>
      </c>
    </row>
    <row r="244" spans="1:8">
      <c r="A244">
        <v>402040</v>
      </c>
      <c r="B244" t="str">
        <f>INDEX(TextData!B:B,MATCH(A244,TextData!A:A))</f>
        <v>トラストチェイン+</v>
      </c>
      <c r="C244">
        <v>6010</v>
      </c>
      <c r="D244" t="str">
        <f>INDEX(Define!Q:Q,MATCH(C244,Define!P:P))</f>
        <v>指定のFeatureのParam1を増やす</v>
      </c>
      <c r="E244">
        <v>2040</v>
      </c>
      <c r="F244">
        <v>0</v>
      </c>
      <c r="G244">
        <v>400</v>
      </c>
      <c r="H244">
        <v>100</v>
      </c>
    </row>
    <row r="245" spans="1:8">
      <c r="A245">
        <v>402050</v>
      </c>
      <c r="B245" t="str">
        <f>INDEX(TextData!B:B,MATCH(A245,TextData!A:A))</f>
        <v>スペルバニシング+</v>
      </c>
      <c r="C245">
        <v>6080</v>
      </c>
      <c r="D245" t="str">
        <f>INDEX(Define!Q:Q,MATCH(C245,Define!P:P))</f>
        <v>指定魔法のCTリセット値を変更する</v>
      </c>
      <c r="E245">
        <v>2050</v>
      </c>
      <c r="F245">
        <v>0</v>
      </c>
      <c r="G245">
        <v>1</v>
      </c>
      <c r="H245">
        <v>100</v>
      </c>
    </row>
    <row r="246" spans="1:8">
      <c r="A246">
        <v>402060</v>
      </c>
      <c r="B246" t="str">
        <f>INDEX(TextData!B:B,MATCH(A246,TextData!A:A))</f>
        <v>アーテニーストライク+</v>
      </c>
      <c r="C246">
        <v>6010</v>
      </c>
      <c r="D246" t="str">
        <f>INDEX(Define!Q:Q,MATCH(C246,Define!P:P))</f>
        <v>指定のFeatureのParam1を増やす</v>
      </c>
      <c r="E246">
        <v>2060</v>
      </c>
      <c r="F246">
        <v>0</v>
      </c>
      <c r="G246">
        <v>250</v>
      </c>
      <c r="H246">
        <v>100</v>
      </c>
    </row>
    <row r="247" spans="1:8">
      <c r="A247">
        <v>402070</v>
      </c>
      <c r="B247" t="str">
        <f>INDEX(TextData!B:B,MATCH(A247,TextData!A:A))</f>
        <v>コンセントレイト+</v>
      </c>
      <c r="C247">
        <v>6030</v>
      </c>
      <c r="D247" t="str">
        <f>INDEX(Define!Q:Q,MATCH(C247,Define!P:P))</f>
        <v>指定のFeatureのParam3を増やす</v>
      </c>
      <c r="E247">
        <v>2070</v>
      </c>
      <c r="F247">
        <v>0</v>
      </c>
      <c r="G247">
        <v>40</v>
      </c>
      <c r="H247">
        <v>100</v>
      </c>
    </row>
    <row r="248" spans="1:8">
      <c r="A248">
        <v>402080</v>
      </c>
      <c r="B248" t="str">
        <f>INDEX(TextData!B:B,MATCH(A248,TextData!A:A))</f>
        <v>ディレイマジック+</v>
      </c>
      <c r="C248">
        <v>6010</v>
      </c>
      <c r="D248" t="str">
        <f>INDEX(Define!Q:Q,MATCH(C248,Define!P:P))</f>
        <v>指定のFeatureのParam1を増やす</v>
      </c>
      <c r="E248">
        <v>2080</v>
      </c>
      <c r="F248">
        <v>1</v>
      </c>
      <c r="G248">
        <v>2</v>
      </c>
      <c r="H248">
        <v>100</v>
      </c>
    </row>
    <row r="249" spans="1:8">
      <c r="A249">
        <v>403010</v>
      </c>
      <c r="B249" t="str">
        <f>INDEX(TextData!B:B,MATCH(A249,TextData!A:A))</f>
        <v>アイスブレイド+</v>
      </c>
      <c r="C249">
        <v>6010</v>
      </c>
      <c r="D249" t="str">
        <f>INDEX(Define!Q:Q,MATCH(C249,Define!P:P))</f>
        <v>指定のFeatureのParam1を増やす</v>
      </c>
      <c r="E249">
        <v>3010</v>
      </c>
      <c r="F249">
        <v>0</v>
      </c>
      <c r="G249">
        <v>250</v>
      </c>
      <c r="H249">
        <v>100</v>
      </c>
    </row>
    <row r="250" spans="1:8">
      <c r="A250">
        <v>403020</v>
      </c>
      <c r="B250" t="str">
        <f>INDEX(TextData!B:B,MATCH(A250,TextData!A:A))</f>
        <v>カウンターオーラ+</v>
      </c>
      <c r="C250">
        <v>6030</v>
      </c>
      <c r="D250" t="str">
        <f>INDEX(Define!Q:Q,MATCH(C250,Define!P:P))</f>
        <v>指定のFeatureのParam3を増やす</v>
      </c>
      <c r="E250">
        <v>3020</v>
      </c>
      <c r="F250">
        <v>0</v>
      </c>
      <c r="G250">
        <v>40</v>
      </c>
      <c r="H250">
        <v>100</v>
      </c>
    </row>
    <row r="251" spans="1:8">
      <c r="A251">
        <v>403030</v>
      </c>
      <c r="B251" t="str">
        <f>INDEX(TextData!B:B,MATCH(A251,TextData!A:A))</f>
        <v>ラインプロテクト+</v>
      </c>
      <c r="C251">
        <v>6030</v>
      </c>
      <c r="D251" t="str">
        <f>INDEX(Define!Q:Q,MATCH(C251,Define!P:P))</f>
        <v>指定のFeatureのParam3を増やす</v>
      </c>
      <c r="E251">
        <v>3030</v>
      </c>
      <c r="F251">
        <v>0</v>
      </c>
      <c r="G251">
        <v>20</v>
      </c>
      <c r="H251">
        <v>100</v>
      </c>
    </row>
    <row r="252" spans="1:8">
      <c r="A252">
        <v>403040</v>
      </c>
      <c r="B252" t="str">
        <f>INDEX(TextData!B:B,MATCH(A252,TextData!A:A))</f>
        <v>エスコートソール+</v>
      </c>
      <c r="C252">
        <v>6030</v>
      </c>
      <c r="D252" t="str">
        <f>INDEX(Define!Q:Q,MATCH(C252,Define!P:P))</f>
        <v>指定のFeatureのParam3を増やす</v>
      </c>
      <c r="E252">
        <v>3040</v>
      </c>
      <c r="F252">
        <v>0</v>
      </c>
      <c r="G252">
        <v>40</v>
      </c>
      <c r="H252">
        <v>100</v>
      </c>
    </row>
    <row r="253" spans="1:8">
      <c r="A253">
        <v>403050</v>
      </c>
      <c r="B253" t="str">
        <f>INDEX(TextData!B:B,MATCH(A253,TextData!A:A))</f>
        <v>ディープフリーズ+</v>
      </c>
      <c r="C253">
        <v>6030</v>
      </c>
      <c r="D253" t="str">
        <f>INDEX(Define!Q:Q,MATCH(C253,Define!P:P))</f>
        <v>指定のFeatureのParam3を増やす</v>
      </c>
      <c r="E253">
        <v>3050</v>
      </c>
      <c r="F253">
        <v>0</v>
      </c>
      <c r="G253">
        <v>40</v>
      </c>
      <c r="H253">
        <v>100</v>
      </c>
    </row>
    <row r="254" spans="1:8">
      <c r="A254">
        <v>403060</v>
      </c>
      <c r="B254" t="str">
        <f>INDEX(TextData!B:B,MATCH(A254,TextData!A:A))</f>
        <v>バブルブロウ+</v>
      </c>
      <c r="C254">
        <v>6030</v>
      </c>
      <c r="D254" t="str">
        <f>INDEX(Define!Q:Q,MATCH(C254,Define!P:P))</f>
        <v>指定のFeatureのParam3を増やす</v>
      </c>
      <c r="E254">
        <v>3060</v>
      </c>
      <c r="F254">
        <v>1</v>
      </c>
      <c r="G254">
        <v>12</v>
      </c>
      <c r="H254">
        <v>100</v>
      </c>
    </row>
    <row r="255" spans="1:8">
      <c r="A255">
        <v>403070</v>
      </c>
      <c r="B255" t="str">
        <f>INDEX(TextData!B:B,MATCH(A255,TextData!A:A))</f>
        <v>アクアミラージュ+</v>
      </c>
      <c r="C255">
        <v>6020</v>
      </c>
      <c r="D255" t="str">
        <f>INDEX(Define!Q:Q,MATCH(C255,Define!P:P))</f>
        <v>指定のFeatureのParam2を増やす</v>
      </c>
      <c r="E255">
        <v>3070</v>
      </c>
      <c r="F255">
        <v>0</v>
      </c>
      <c r="G255">
        <v>2</v>
      </c>
      <c r="H255">
        <v>100</v>
      </c>
    </row>
    <row r="256" spans="1:8">
      <c r="A256">
        <v>403080</v>
      </c>
      <c r="B256" t="str">
        <f>INDEX(TextData!B:B,MATCH(A256,TextData!A:A))</f>
        <v>フロストシールド+</v>
      </c>
      <c r="C256">
        <v>6030</v>
      </c>
      <c r="D256" t="str">
        <f>INDEX(Define!Q:Q,MATCH(C256,Define!P:P))</f>
        <v>指定のFeatureのParam3を増やす</v>
      </c>
      <c r="E256">
        <v>3080</v>
      </c>
      <c r="F256">
        <v>0</v>
      </c>
      <c r="G256">
        <v>30</v>
      </c>
      <c r="H256">
        <v>100</v>
      </c>
    </row>
    <row r="257" spans="1:8">
      <c r="A257">
        <v>404010</v>
      </c>
      <c r="B257" t="str">
        <f>INDEX(TextData!B:B,MATCH(A257,TextData!A:A))</f>
        <v>セイントレーザー+</v>
      </c>
      <c r="C257">
        <v>6010</v>
      </c>
      <c r="D257" t="str">
        <f>INDEX(Define!Q:Q,MATCH(C257,Define!P:P))</f>
        <v>指定のFeatureのParam1を増やす</v>
      </c>
      <c r="E257">
        <v>4010</v>
      </c>
      <c r="F257">
        <v>0</v>
      </c>
      <c r="G257">
        <v>250</v>
      </c>
      <c r="H257">
        <v>100</v>
      </c>
    </row>
    <row r="258" spans="1:8">
      <c r="A258">
        <v>404020</v>
      </c>
      <c r="B258" t="str">
        <f>INDEX(TextData!B:B,MATCH(A258,TextData!A:A))</f>
        <v>ペネトレイト+</v>
      </c>
      <c r="C258">
        <v>6010</v>
      </c>
      <c r="D258" t="str">
        <f>INDEX(Define!Q:Q,MATCH(C258,Define!P:P))</f>
        <v>指定のFeatureのParam1を増やす</v>
      </c>
      <c r="E258">
        <v>4020</v>
      </c>
      <c r="F258">
        <v>0</v>
      </c>
      <c r="G258">
        <v>250</v>
      </c>
      <c r="H258">
        <v>100</v>
      </c>
    </row>
    <row r="259" spans="1:8">
      <c r="A259">
        <v>404030</v>
      </c>
      <c r="B259" t="str">
        <f>INDEX(TextData!B:B,MATCH(A259,TextData!A:A))</f>
        <v>ヒーリング+</v>
      </c>
      <c r="C259">
        <v>6210</v>
      </c>
      <c r="D259" t="str">
        <f>INDEX(Define!Q:Q,MATCH(C259,Define!P:P))</f>
        <v>指定魔法の対象を変更（強化限定）</v>
      </c>
      <c r="E259">
        <v>4030</v>
      </c>
      <c r="F259">
        <v>0</v>
      </c>
      <c r="G259">
        <v>31</v>
      </c>
      <c r="H259">
        <v>100</v>
      </c>
    </row>
    <row r="260" spans="1:8">
      <c r="A260">
        <v>404040</v>
      </c>
      <c r="B260" t="str">
        <f>INDEX(TextData!B:B,MATCH(A260,TextData!A:A))</f>
        <v>リザイアフォトン+</v>
      </c>
      <c r="C260">
        <v>6030</v>
      </c>
      <c r="D260" t="str">
        <f>INDEX(Define!Q:Q,MATCH(C260,Define!P:P))</f>
        <v>指定のFeatureのParam3を増やす</v>
      </c>
      <c r="E260">
        <v>4040</v>
      </c>
      <c r="F260">
        <v>1</v>
      </c>
      <c r="G260">
        <v>30</v>
      </c>
      <c r="H260">
        <v>100</v>
      </c>
    </row>
    <row r="261" spans="1:8">
      <c r="A261">
        <v>404050</v>
      </c>
      <c r="B261" t="str">
        <f>INDEX(TextData!B:B,MATCH(A261,TextData!A:A))</f>
        <v>べネディクション+</v>
      </c>
      <c r="C261">
        <v>6080</v>
      </c>
      <c r="D261" t="str">
        <f>INDEX(Define!Q:Q,MATCH(C261,Define!P:P))</f>
        <v>指定魔法のCTリセット値を変更する</v>
      </c>
      <c r="E261">
        <v>4050</v>
      </c>
      <c r="F261">
        <v>0</v>
      </c>
      <c r="G261">
        <v>2</v>
      </c>
      <c r="H261">
        <v>100</v>
      </c>
    </row>
    <row r="262" spans="1:8">
      <c r="A262">
        <v>404060</v>
      </c>
      <c r="B262" t="str">
        <f>INDEX(TextData!B:B,MATCH(A262,TextData!A:A))</f>
        <v>ホーリーグレイス+</v>
      </c>
      <c r="C262">
        <v>6080</v>
      </c>
      <c r="D262" t="str">
        <f>INDEX(Define!Q:Q,MATCH(C262,Define!P:P))</f>
        <v>指定魔法のCTリセット値を変更する</v>
      </c>
      <c r="E262">
        <v>4060</v>
      </c>
      <c r="F262">
        <v>0</v>
      </c>
      <c r="G262">
        <v>5</v>
      </c>
      <c r="H262">
        <v>100</v>
      </c>
    </row>
    <row r="263" spans="1:8">
      <c r="A263">
        <v>404070</v>
      </c>
      <c r="B263" t="str">
        <f>INDEX(TextData!B:B,MATCH(A263,TextData!A:A))</f>
        <v>キュアエール+</v>
      </c>
      <c r="C263">
        <v>6030</v>
      </c>
      <c r="D263" t="str">
        <f>INDEX(Define!Q:Q,MATCH(C263,Define!P:P))</f>
        <v>指定のFeatureのParam3を増やす</v>
      </c>
      <c r="E263">
        <v>4070</v>
      </c>
      <c r="F263">
        <v>0</v>
      </c>
      <c r="G263">
        <v>25</v>
      </c>
      <c r="H263">
        <v>100</v>
      </c>
    </row>
    <row r="264" spans="1:8">
      <c r="A264">
        <v>404080</v>
      </c>
      <c r="B264" t="str">
        <f>INDEX(TextData!B:B,MATCH(A264,TextData!A:A))</f>
        <v>ラインバリア+</v>
      </c>
      <c r="C264">
        <v>6080</v>
      </c>
      <c r="D264" t="str">
        <f>INDEX(Define!Q:Q,MATCH(C264,Define!P:P))</f>
        <v>指定魔法のCTリセット値を変更する</v>
      </c>
      <c r="E264">
        <v>4080</v>
      </c>
      <c r="F264">
        <v>0</v>
      </c>
      <c r="G264">
        <v>3</v>
      </c>
      <c r="H264">
        <v>100</v>
      </c>
    </row>
    <row r="265" spans="1:8">
      <c r="A265">
        <v>405010</v>
      </c>
      <c r="B265" t="str">
        <f>INDEX(TextData!B:B,MATCH(A265,TextData!A:A))</f>
        <v>ダークプリズン+</v>
      </c>
      <c r="C265">
        <v>6010</v>
      </c>
      <c r="D265" t="str">
        <f>INDEX(Define!Q:Q,MATCH(C265,Define!P:P))</f>
        <v>指定のFeatureのParam1を増やす</v>
      </c>
      <c r="E265">
        <v>5010</v>
      </c>
      <c r="F265">
        <v>0</v>
      </c>
      <c r="G265">
        <v>250</v>
      </c>
      <c r="H265">
        <v>100</v>
      </c>
    </row>
    <row r="266" spans="1:8">
      <c r="A266">
        <v>405020</v>
      </c>
      <c r="B266" t="str">
        <f>INDEX(TextData!B:B,MATCH(A266,TextData!A:A))</f>
        <v>ユーサネイジア+</v>
      </c>
      <c r="C266">
        <v>6010</v>
      </c>
      <c r="D266" t="str">
        <f>INDEX(Define!Q:Q,MATCH(C266,Define!P:P))</f>
        <v>指定のFeatureのParam1を増やす</v>
      </c>
      <c r="E266">
        <v>5020</v>
      </c>
      <c r="F266">
        <v>0</v>
      </c>
      <c r="G266">
        <v>200</v>
      </c>
      <c r="H266">
        <v>100</v>
      </c>
    </row>
    <row r="267" spans="1:8">
      <c r="A267">
        <v>405030</v>
      </c>
      <c r="B267" t="str">
        <f>INDEX(TextData!B:B,MATCH(A267,TextData!A:A))</f>
        <v>ドレインヒール+</v>
      </c>
      <c r="C267">
        <v>6030</v>
      </c>
      <c r="D267" t="str">
        <f>INDEX(Define!Q:Q,MATCH(C267,Define!P:P))</f>
        <v>指定のFeatureのParam3を増やす</v>
      </c>
      <c r="E267">
        <v>5030</v>
      </c>
      <c r="F267">
        <v>0</v>
      </c>
      <c r="G267">
        <v>100</v>
      </c>
      <c r="H267">
        <v>100</v>
      </c>
    </row>
    <row r="268" spans="1:8">
      <c r="A268">
        <v>405040</v>
      </c>
      <c r="B268" t="str">
        <f>INDEX(TextData!B:B,MATCH(A268,TextData!A:A))</f>
        <v>アビサルデスペア+</v>
      </c>
      <c r="C268">
        <v>6020</v>
      </c>
      <c r="D268" t="str">
        <f>INDEX(Define!Q:Q,MATCH(C268,Define!P:P))</f>
        <v>指定のFeatureのParam2を増やす</v>
      </c>
      <c r="E268">
        <v>5040</v>
      </c>
      <c r="F268">
        <v>0</v>
      </c>
      <c r="G268">
        <v>5</v>
      </c>
      <c r="H268">
        <v>100</v>
      </c>
    </row>
    <row r="269" spans="1:8">
      <c r="A269">
        <v>405050</v>
      </c>
      <c r="B269" t="str">
        <f>INDEX(TextData!B:B,MATCH(A269,TextData!A:A))</f>
        <v>ディプラヴィティ+</v>
      </c>
      <c r="C269">
        <v>6030</v>
      </c>
      <c r="D269" t="str">
        <f>INDEX(Define!Q:Q,MATCH(C269,Define!P:P))</f>
        <v>指定のFeatureのParam3を増やす</v>
      </c>
      <c r="E269">
        <v>5050</v>
      </c>
      <c r="F269">
        <v>0</v>
      </c>
      <c r="G269">
        <v>3</v>
      </c>
      <c r="H269">
        <v>100</v>
      </c>
    </row>
    <row r="270" spans="1:8">
      <c r="A270">
        <v>405060</v>
      </c>
      <c r="B270" t="str">
        <f>INDEX(TextData!B:B,MATCH(A270,TextData!A:A))</f>
        <v>ダークネス+</v>
      </c>
      <c r="C270">
        <v>6030</v>
      </c>
      <c r="D270" t="str">
        <f>INDEX(Define!Q:Q,MATCH(C270,Define!P:P))</f>
        <v>指定のFeatureのParam3を増やす</v>
      </c>
      <c r="E270">
        <v>5060</v>
      </c>
      <c r="F270">
        <v>0</v>
      </c>
      <c r="G270">
        <v>50</v>
      </c>
      <c r="H270">
        <v>100</v>
      </c>
    </row>
    <row r="271" spans="1:8">
      <c r="A271">
        <v>405070</v>
      </c>
      <c r="B271" t="str">
        <f>INDEX(TextData!B:B,MATCH(A271,TextData!A:A))</f>
        <v>シェイディークラウド+</v>
      </c>
      <c r="C271">
        <v>6030</v>
      </c>
      <c r="D271" t="str">
        <f>INDEX(Define!Q:Q,MATCH(C271,Define!P:P))</f>
        <v>指定のFeatureのParam3を増やす</v>
      </c>
      <c r="E271">
        <v>5070</v>
      </c>
      <c r="F271">
        <v>0</v>
      </c>
      <c r="G271">
        <v>12</v>
      </c>
      <c r="H271">
        <v>100</v>
      </c>
    </row>
    <row r="272" spans="1:8">
      <c r="A272">
        <v>405080</v>
      </c>
      <c r="B272" t="str">
        <f>INDEX(TextData!B:B,MATCH(A272,TextData!A:A))</f>
        <v>ポイズンブロウ+</v>
      </c>
      <c r="C272">
        <v>6030</v>
      </c>
      <c r="D272" t="str">
        <f>INDEX(Define!Q:Q,MATCH(C272,Define!P:P))</f>
        <v>指定のFeatureのParam3を増やす</v>
      </c>
      <c r="E272">
        <v>5080</v>
      </c>
      <c r="F272">
        <v>0</v>
      </c>
      <c r="G272">
        <v>20</v>
      </c>
      <c r="H272">
        <v>100</v>
      </c>
    </row>
    <row r="273" spans="1:8">
      <c r="A273">
        <v>411010</v>
      </c>
      <c r="B273" t="str">
        <f>INDEX(TextData!B:B,MATCH(A273,TextData!A:A))</f>
        <v>ウルフソウル+</v>
      </c>
      <c r="C273">
        <v>6030</v>
      </c>
      <c r="D273" t="str">
        <f>INDEX(Define!Q:Q,MATCH(C273,Define!P:P))</f>
        <v>指定のFeatureのParam3を増やす</v>
      </c>
      <c r="E273">
        <v>11010</v>
      </c>
      <c r="F273">
        <v>0</v>
      </c>
      <c r="G273">
        <v>8</v>
      </c>
      <c r="H273">
        <v>100</v>
      </c>
    </row>
    <row r="274" spans="1:8">
      <c r="A274">
        <v>411020</v>
      </c>
      <c r="B274" t="str">
        <f>INDEX(TextData!B:B,MATCH(A274,TextData!A:A))</f>
        <v>プリディカメント+</v>
      </c>
      <c r="C274">
        <v>6030</v>
      </c>
      <c r="D274" t="str">
        <f>INDEX(Define!Q:Q,MATCH(C274,Define!P:P))</f>
        <v>指定のFeatureのParam3を増やす</v>
      </c>
      <c r="E274">
        <v>11020</v>
      </c>
      <c r="F274">
        <v>0</v>
      </c>
      <c r="G274">
        <v>16</v>
      </c>
      <c r="H274">
        <v>100</v>
      </c>
    </row>
    <row r="275" spans="1:8">
      <c r="A275">
        <v>411030</v>
      </c>
      <c r="B275" t="str">
        <f>INDEX(TextData!B:B,MATCH(A275,TextData!A:A))</f>
        <v>アサルトシフト+</v>
      </c>
      <c r="C275">
        <v>6030</v>
      </c>
      <c r="D275" t="str">
        <f>INDEX(Define!Q:Q,MATCH(C275,Define!P:P))</f>
        <v>指定のFeatureのParam3を増やす</v>
      </c>
      <c r="E275">
        <v>11030</v>
      </c>
      <c r="F275">
        <v>0</v>
      </c>
      <c r="G275">
        <v>8</v>
      </c>
      <c r="H275">
        <v>100</v>
      </c>
    </row>
    <row r="276" spans="1:8">
      <c r="A276">
        <v>411030</v>
      </c>
      <c r="B276" t="str">
        <f>INDEX(TextData!B:B,MATCH(A276,TextData!A:A))</f>
        <v>アサルトシフト+</v>
      </c>
      <c r="C276">
        <v>6030</v>
      </c>
      <c r="D276" t="str">
        <f>INDEX(Define!Q:Q,MATCH(C276,Define!P:P))</f>
        <v>指定のFeatureのParam3を増やす</v>
      </c>
      <c r="E276">
        <v>11030</v>
      </c>
      <c r="F276">
        <v>1</v>
      </c>
      <c r="G276">
        <v>8</v>
      </c>
      <c r="H276">
        <v>100</v>
      </c>
    </row>
    <row r="277" spans="1:8">
      <c r="A277">
        <v>411040</v>
      </c>
      <c r="B277" t="str">
        <f>INDEX(TextData!B:B,MATCH(A277,TextData!A:A))</f>
        <v>アクティブギフト+</v>
      </c>
      <c r="C277">
        <v>6080</v>
      </c>
      <c r="D277" t="str">
        <f>INDEX(Define!Q:Q,MATCH(C277,Define!P:P))</f>
        <v>指定魔法のCTリセット値を変更する</v>
      </c>
      <c r="E277">
        <v>11040</v>
      </c>
      <c r="F277">
        <v>0</v>
      </c>
      <c r="G277">
        <v>3</v>
      </c>
      <c r="H277">
        <v>100</v>
      </c>
    </row>
    <row r="278" spans="1:8">
      <c r="A278">
        <v>411050</v>
      </c>
      <c r="B278" t="str">
        <f>INDEX(TextData!B:B,MATCH(A278,TextData!A:A))</f>
        <v>イグナイテッド+</v>
      </c>
      <c r="C278">
        <v>6010</v>
      </c>
      <c r="D278" t="str">
        <f>INDEX(Define!Q:Q,MATCH(C278,Define!P:P))</f>
        <v>指定のFeatureのParam1を増やす</v>
      </c>
      <c r="E278">
        <v>11050</v>
      </c>
      <c r="F278">
        <v>0</v>
      </c>
      <c r="G278">
        <v>6</v>
      </c>
      <c r="H278">
        <v>100</v>
      </c>
    </row>
    <row r="279" spans="1:8">
      <c r="A279">
        <v>411060</v>
      </c>
      <c r="B279" t="str">
        <f>INDEX(TextData!B:B,MATCH(A279,TextData!A:A))</f>
        <v>ライジングファイア+</v>
      </c>
      <c r="C279">
        <v>6010</v>
      </c>
      <c r="D279" t="str">
        <f>INDEX(Define!Q:Q,MATCH(C279,Define!P:P))</f>
        <v>指定のFeatureのParam1を増やす</v>
      </c>
      <c r="E279">
        <v>11060</v>
      </c>
      <c r="F279">
        <v>0</v>
      </c>
      <c r="G279">
        <v>2</v>
      </c>
      <c r="H279">
        <v>100</v>
      </c>
    </row>
    <row r="280" spans="1:8">
      <c r="A280">
        <v>411070</v>
      </c>
      <c r="B280" t="str">
        <f>INDEX(TextData!B:B,MATCH(A280,TextData!A:A))</f>
        <v>ルージュバック+</v>
      </c>
      <c r="C280">
        <v>6030</v>
      </c>
      <c r="D280" t="str">
        <f>INDEX(Define!Q:Q,MATCH(C280,Define!P:P))</f>
        <v>指定のFeatureのParam3を増やす</v>
      </c>
      <c r="E280">
        <v>11070</v>
      </c>
      <c r="F280">
        <v>0</v>
      </c>
      <c r="G280">
        <v>4</v>
      </c>
      <c r="H280">
        <v>100</v>
      </c>
    </row>
    <row r="281" spans="1:8">
      <c r="A281">
        <v>411080</v>
      </c>
      <c r="B281" t="str">
        <f>INDEX(TextData!B:B,MATCH(A281,TextData!A:A))</f>
        <v>パワーエール+</v>
      </c>
      <c r="C281">
        <v>6030</v>
      </c>
      <c r="D281" t="str">
        <f>INDEX(Define!Q:Q,MATCH(C281,Define!P:P))</f>
        <v>指定のFeatureのParam3を増やす</v>
      </c>
      <c r="E281">
        <v>11080</v>
      </c>
      <c r="F281">
        <v>0</v>
      </c>
      <c r="G281">
        <v>8</v>
      </c>
      <c r="H281">
        <v>100</v>
      </c>
    </row>
    <row r="282" spans="1:8">
      <c r="A282">
        <v>411090</v>
      </c>
      <c r="B282" t="str">
        <f>INDEX(TextData!B:B,MATCH(A282,TextData!A:A))</f>
        <v>スレイプニル+</v>
      </c>
      <c r="C282">
        <v>6030</v>
      </c>
      <c r="D282" t="str">
        <f>INDEX(Define!Q:Q,MATCH(C282,Define!P:P))</f>
        <v>指定のFeatureのParam3を増やす</v>
      </c>
      <c r="E282">
        <v>11090</v>
      </c>
      <c r="F282">
        <v>0</v>
      </c>
      <c r="G282">
        <v>25</v>
      </c>
      <c r="H282">
        <v>100</v>
      </c>
    </row>
    <row r="283" spans="1:8">
      <c r="A283">
        <v>412010</v>
      </c>
      <c r="B283" t="str">
        <f>INDEX(TextData!B:B,MATCH(A283,TextData!A:A))</f>
        <v>エクステンション+</v>
      </c>
      <c r="C283">
        <v>6210</v>
      </c>
      <c r="D283" t="str">
        <f>INDEX(Define!Q:Q,MATCH(C283,Define!P:P))</f>
        <v>指定魔法の対象を変更（強化限定）</v>
      </c>
      <c r="E283">
        <v>12010</v>
      </c>
      <c r="F283">
        <v>0</v>
      </c>
      <c r="G283">
        <v>31</v>
      </c>
      <c r="H283">
        <v>100</v>
      </c>
    </row>
    <row r="284" spans="1:8">
      <c r="A284">
        <v>412020</v>
      </c>
      <c r="B284" t="str">
        <f>INDEX(TextData!B:B,MATCH(A284,TextData!A:A))</f>
        <v>ヘブンリーラック+</v>
      </c>
      <c r="C284">
        <v>6030</v>
      </c>
      <c r="D284" t="str">
        <f>INDEX(Define!Q:Q,MATCH(C284,Define!P:P))</f>
        <v>指定のFeatureのParam3を増やす</v>
      </c>
      <c r="E284">
        <v>12020</v>
      </c>
      <c r="F284">
        <v>0</v>
      </c>
      <c r="G284">
        <v>20</v>
      </c>
      <c r="H284">
        <v>100</v>
      </c>
    </row>
    <row r="285" spans="1:8">
      <c r="A285">
        <v>412030</v>
      </c>
      <c r="B285" t="str">
        <f>INDEX(TextData!B:B,MATCH(A285,TextData!A:A))</f>
        <v>スウィフトカレント+</v>
      </c>
      <c r="C285">
        <v>6030</v>
      </c>
      <c r="D285" t="str">
        <f>INDEX(Define!Q:Q,MATCH(C285,Define!P:P))</f>
        <v>指定のFeatureのParam3を増やす</v>
      </c>
      <c r="E285">
        <v>12030</v>
      </c>
      <c r="F285">
        <v>0</v>
      </c>
      <c r="G285">
        <v>10</v>
      </c>
      <c r="H285">
        <v>100</v>
      </c>
    </row>
    <row r="286" spans="1:8">
      <c r="A286">
        <v>412040</v>
      </c>
      <c r="B286" t="str">
        <f>INDEX(TextData!B:B,MATCH(A286,TextData!A:A))</f>
        <v>イヴェイドオール+</v>
      </c>
      <c r="C286">
        <v>6030</v>
      </c>
      <c r="D286" t="str">
        <f>INDEX(Define!Q:Q,MATCH(C286,Define!P:P))</f>
        <v>指定のFeatureのParam3を増やす</v>
      </c>
      <c r="E286">
        <v>12040</v>
      </c>
      <c r="F286">
        <v>0</v>
      </c>
      <c r="G286">
        <v>10</v>
      </c>
      <c r="H286">
        <v>100</v>
      </c>
    </row>
    <row r="287" spans="1:8">
      <c r="A287">
        <v>412050</v>
      </c>
      <c r="B287" t="str">
        <f>INDEX(TextData!B:B,MATCH(A287,TextData!A:A))</f>
        <v>クイックムーブ+</v>
      </c>
      <c r="C287">
        <v>6010</v>
      </c>
      <c r="D287" t="str">
        <f>INDEX(Define!Q:Q,MATCH(C287,Define!P:P))</f>
        <v>指定のFeatureのParam1を増やす</v>
      </c>
      <c r="E287">
        <v>12050</v>
      </c>
      <c r="F287">
        <v>0</v>
      </c>
      <c r="G287">
        <v>400</v>
      </c>
      <c r="H287">
        <v>100</v>
      </c>
    </row>
    <row r="288" spans="1:8">
      <c r="A288">
        <v>412060</v>
      </c>
      <c r="B288" t="str">
        <f>INDEX(TextData!B:B,MATCH(A288,TextData!A:A))</f>
        <v>チェイスマジック+</v>
      </c>
      <c r="C288">
        <v>6010</v>
      </c>
      <c r="D288" t="str">
        <f>INDEX(Define!Q:Q,MATCH(C288,Define!P:P))</f>
        <v>指定のFeatureのParam1を増やす</v>
      </c>
      <c r="E288">
        <v>12060</v>
      </c>
      <c r="F288">
        <v>0</v>
      </c>
      <c r="G288">
        <v>300</v>
      </c>
      <c r="H288">
        <v>100</v>
      </c>
    </row>
    <row r="289" spans="1:8">
      <c r="A289">
        <v>412070</v>
      </c>
      <c r="B289" t="str">
        <f>INDEX(TextData!B:B,MATCH(A289,TextData!A:A))</f>
        <v>ソーサリーコネクト+</v>
      </c>
      <c r="C289">
        <v>6030</v>
      </c>
      <c r="D289" t="str">
        <f>INDEX(Define!Q:Q,MATCH(C289,Define!P:P))</f>
        <v>指定のFeatureのParam3を増やす</v>
      </c>
      <c r="E289">
        <v>12070</v>
      </c>
      <c r="F289">
        <v>0</v>
      </c>
      <c r="G289">
        <v>16</v>
      </c>
      <c r="H289">
        <v>100</v>
      </c>
    </row>
    <row r="290" spans="1:8">
      <c r="A290">
        <v>412080</v>
      </c>
      <c r="B290" t="str">
        <f>INDEX(TextData!B:B,MATCH(A290,TextData!A:A))</f>
        <v>ウィンドライズ+</v>
      </c>
      <c r="C290">
        <v>6010</v>
      </c>
      <c r="D290" t="str">
        <f>INDEX(Define!Q:Q,MATCH(C290,Define!P:P))</f>
        <v>指定のFeatureのParam1を増やす</v>
      </c>
      <c r="E290">
        <v>12080</v>
      </c>
      <c r="F290">
        <v>0</v>
      </c>
      <c r="G290">
        <v>300</v>
      </c>
      <c r="H290">
        <v>100</v>
      </c>
    </row>
    <row r="291" spans="1:8">
      <c r="A291">
        <v>412090</v>
      </c>
      <c r="B291" t="str">
        <f>INDEX(TextData!B:B,MATCH(A291,TextData!A:A))</f>
        <v>アウトオブオーダー+</v>
      </c>
      <c r="C291">
        <v>6010</v>
      </c>
      <c r="D291" t="str">
        <f>INDEX(Define!Q:Q,MATCH(C291,Define!P:P))</f>
        <v>指定のFeatureのParam1を増やす</v>
      </c>
      <c r="E291">
        <v>12090</v>
      </c>
      <c r="F291">
        <v>0</v>
      </c>
      <c r="G291">
        <v>400</v>
      </c>
      <c r="H291">
        <v>100</v>
      </c>
    </row>
    <row r="292" spans="1:8">
      <c r="A292">
        <v>413010</v>
      </c>
      <c r="B292" t="str">
        <f>INDEX(TextData!B:B,MATCH(A292,TextData!A:A))</f>
        <v>アーマーコード+</v>
      </c>
      <c r="C292">
        <v>6030</v>
      </c>
      <c r="D292" t="str">
        <f>INDEX(Define!Q:Q,MATCH(C292,Define!P:P))</f>
        <v>指定のFeatureのParam3を増やす</v>
      </c>
      <c r="E292">
        <v>13010</v>
      </c>
      <c r="F292">
        <v>0</v>
      </c>
      <c r="G292">
        <v>8</v>
      </c>
      <c r="H292">
        <v>100</v>
      </c>
    </row>
    <row r="293" spans="1:8">
      <c r="A293">
        <v>413020</v>
      </c>
      <c r="B293" t="str">
        <f>INDEX(TextData!B:B,MATCH(A293,TextData!A:A))</f>
        <v>クイックバリア+</v>
      </c>
      <c r="C293">
        <v>6030</v>
      </c>
      <c r="D293" t="str">
        <f>INDEX(Define!Q:Q,MATCH(C293,Define!P:P))</f>
        <v>指定のFeatureのParam3を増やす</v>
      </c>
      <c r="E293">
        <v>13020</v>
      </c>
      <c r="F293">
        <v>0</v>
      </c>
      <c r="G293">
        <v>50</v>
      </c>
      <c r="H293">
        <v>100</v>
      </c>
    </row>
    <row r="294" spans="1:8">
      <c r="A294">
        <v>413030</v>
      </c>
      <c r="B294" t="str">
        <f>INDEX(TextData!B:B,MATCH(A294,TextData!A:A))</f>
        <v>クイックキュア+</v>
      </c>
      <c r="C294">
        <v>6080</v>
      </c>
      <c r="D294" t="str">
        <f>INDEX(Define!Q:Q,MATCH(C294,Define!P:P))</f>
        <v>指定魔法のCTリセット値を変更する</v>
      </c>
      <c r="E294">
        <v>14090</v>
      </c>
      <c r="F294">
        <v>0</v>
      </c>
      <c r="G294">
        <v>1</v>
      </c>
      <c r="H294">
        <v>100</v>
      </c>
    </row>
    <row r="295" spans="1:8">
      <c r="A295">
        <v>413040</v>
      </c>
      <c r="B295" t="str">
        <f>INDEX(TextData!B:B,MATCH(A295,TextData!A:A))</f>
        <v>セルフシールド+</v>
      </c>
      <c r="C295">
        <v>6030</v>
      </c>
      <c r="D295" t="str">
        <f>INDEX(Define!Q:Q,MATCH(C295,Define!P:P))</f>
        <v>指定のFeatureのParam3を増やす</v>
      </c>
      <c r="E295">
        <v>13040</v>
      </c>
      <c r="F295">
        <v>0</v>
      </c>
      <c r="G295">
        <v>50</v>
      </c>
      <c r="H295">
        <v>100</v>
      </c>
    </row>
    <row r="296" spans="1:8">
      <c r="A296">
        <v>413050</v>
      </c>
      <c r="B296" t="str">
        <f>INDEX(TextData!B:B,MATCH(A296,TextData!A:A))</f>
        <v>パッシブジャミング+</v>
      </c>
      <c r="C296">
        <v>6080</v>
      </c>
      <c r="D296" t="str">
        <f>INDEX(Define!Q:Q,MATCH(C296,Define!P:P))</f>
        <v>指定魔法のCTリセット値を変更する</v>
      </c>
      <c r="E296">
        <v>14090</v>
      </c>
      <c r="F296">
        <v>0</v>
      </c>
      <c r="G296">
        <v>1</v>
      </c>
      <c r="H296">
        <v>100</v>
      </c>
    </row>
    <row r="297" spans="1:8">
      <c r="A297">
        <v>413060</v>
      </c>
      <c r="B297" t="str">
        <f>INDEX(TextData!B:B,MATCH(A297,TextData!A:A))</f>
        <v>サプライカバー+</v>
      </c>
      <c r="C297">
        <v>6080</v>
      </c>
      <c r="D297" t="str">
        <f>INDEX(Define!Q:Q,MATCH(C297,Define!P:P))</f>
        <v>指定魔法のCTリセット値を変更する</v>
      </c>
      <c r="E297">
        <v>14090</v>
      </c>
      <c r="F297">
        <v>0</v>
      </c>
      <c r="G297">
        <v>1</v>
      </c>
      <c r="H297">
        <v>100</v>
      </c>
    </row>
    <row r="298" spans="1:8">
      <c r="A298">
        <v>413070</v>
      </c>
      <c r="B298" t="str">
        <f>INDEX(TextData!B:B,MATCH(A298,TextData!A:A))</f>
        <v>アシッドラッシュ+</v>
      </c>
      <c r="C298">
        <v>6010</v>
      </c>
      <c r="D298" t="str">
        <f>INDEX(Define!Q:Q,MATCH(C298,Define!P:P))</f>
        <v>指定のFeatureのParam1を増やす</v>
      </c>
      <c r="E298">
        <v>13070</v>
      </c>
      <c r="F298">
        <v>0</v>
      </c>
      <c r="G298">
        <v>400</v>
      </c>
      <c r="H298">
        <v>100</v>
      </c>
    </row>
    <row r="299" spans="1:8">
      <c r="A299">
        <v>413080</v>
      </c>
      <c r="B299" t="str">
        <f>INDEX(TextData!B:B,MATCH(A299,TextData!A:A))</f>
        <v>ライフスティール+</v>
      </c>
      <c r="C299">
        <v>6030</v>
      </c>
      <c r="D299" t="str">
        <f>INDEX(Define!Q:Q,MATCH(C299,Define!P:P))</f>
        <v>指定のFeatureのParam3を増やす</v>
      </c>
      <c r="E299">
        <v>13080</v>
      </c>
      <c r="F299">
        <v>0</v>
      </c>
      <c r="G299">
        <v>50</v>
      </c>
      <c r="H299">
        <v>100</v>
      </c>
    </row>
    <row r="300" spans="1:8">
      <c r="A300">
        <v>413090</v>
      </c>
      <c r="B300" t="str">
        <f>INDEX(TextData!B:B,MATCH(A300,TextData!A:A))</f>
        <v>アイスセイバー+</v>
      </c>
      <c r="C300">
        <v>6030</v>
      </c>
      <c r="D300" t="str">
        <f>INDEX(Define!Q:Q,MATCH(C300,Define!P:P))</f>
        <v>指定のFeatureのParam3を増やす</v>
      </c>
      <c r="E300">
        <v>13090</v>
      </c>
      <c r="F300">
        <v>0</v>
      </c>
      <c r="G300">
        <v>50</v>
      </c>
      <c r="H300">
        <v>100</v>
      </c>
    </row>
    <row r="301" spans="1:8">
      <c r="A301">
        <v>414010</v>
      </c>
      <c r="B301" t="str">
        <f>INDEX(TextData!B:B,MATCH(A301,TextData!A:A))</f>
        <v>ディバインシールド+</v>
      </c>
      <c r="C301">
        <v>6020</v>
      </c>
      <c r="D301" t="str">
        <f>INDEX(Define!Q:Q,MATCH(C301,Define!P:P))</f>
        <v>指定のFeatureのParam2を増やす</v>
      </c>
      <c r="E301">
        <v>14010</v>
      </c>
      <c r="F301">
        <v>0</v>
      </c>
      <c r="G301">
        <v>2</v>
      </c>
      <c r="H301">
        <v>100</v>
      </c>
    </row>
    <row r="302" spans="1:8">
      <c r="A302">
        <v>414020</v>
      </c>
      <c r="B302" t="str">
        <f>INDEX(TextData!B:B,MATCH(A302,TextData!A:A))</f>
        <v>ライフディバイド+</v>
      </c>
      <c r="C302">
        <v>6010</v>
      </c>
      <c r="D302" t="str">
        <f>INDEX(Define!Q:Q,MATCH(C302,Define!P:P))</f>
        <v>指定のFeatureのParam1を増やす</v>
      </c>
      <c r="E302">
        <v>14020</v>
      </c>
      <c r="F302">
        <v>0</v>
      </c>
      <c r="G302">
        <v>50</v>
      </c>
      <c r="H302">
        <v>100</v>
      </c>
    </row>
    <row r="303" spans="1:8">
      <c r="A303">
        <v>414030</v>
      </c>
      <c r="B303" t="str">
        <f>INDEX(TextData!B:B,MATCH(A303,TextData!A:A))</f>
        <v>エイミングスコープ+</v>
      </c>
      <c r="C303">
        <v>6030</v>
      </c>
      <c r="D303" t="str">
        <f>INDEX(Define!Q:Q,MATCH(C303,Define!P:P))</f>
        <v>指定のFeatureのParam3を増やす</v>
      </c>
      <c r="E303">
        <v>14030</v>
      </c>
      <c r="F303">
        <v>0</v>
      </c>
      <c r="G303">
        <v>10</v>
      </c>
      <c r="H303">
        <v>100</v>
      </c>
    </row>
    <row r="304" spans="1:8">
      <c r="A304">
        <v>414040</v>
      </c>
      <c r="B304" t="str">
        <f>INDEX(TextData!B:B,MATCH(A304,TextData!A:A))</f>
        <v>リジェネレーション+</v>
      </c>
      <c r="C304">
        <v>6030</v>
      </c>
      <c r="D304" t="str">
        <f>INDEX(Define!Q:Q,MATCH(C304,Define!P:P))</f>
        <v>指定のFeatureのParam3を増やす</v>
      </c>
      <c r="E304">
        <v>14040</v>
      </c>
      <c r="F304">
        <v>0</v>
      </c>
      <c r="G304">
        <v>10</v>
      </c>
      <c r="H304">
        <v>100</v>
      </c>
    </row>
    <row r="305" spans="1:8">
      <c r="A305">
        <v>414050</v>
      </c>
      <c r="B305" t="str">
        <f>INDEX(TextData!B:B,MATCH(A305,TextData!A:A))</f>
        <v>ホープフルアイリス+</v>
      </c>
      <c r="C305">
        <v>6030</v>
      </c>
      <c r="D305" t="str">
        <f>INDEX(Define!Q:Q,MATCH(C305,Define!P:P))</f>
        <v>指定のFeatureのParam3を増やす</v>
      </c>
      <c r="E305">
        <v>14050</v>
      </c>
      <c r="F305">
        <v>0</v>
      </c>
      <c r="G305">
        <v>15</v>
      </c>
      <c r="H305">
        <v>100</v>
      </c>
    </row>
    <row r="306" spans="1:8">
      <c r="A306">
        <v>414060</v>
      </c>
      <c r="B306" t="str">
        <f>INDEX(TextData!B:B,MATCH(A306,TextData!A:A))</f>
        <v>パッシブサプライ+</v>
      </c>
      <c r="C306">
        <v>6010</v>
      </c>
      <c r="D306" t="str">
        <f>INDEX(Define!Q:Q,MATCH(C306,Define!P:P))</f>
        <v>指定のFeatureのParam1を増やす</v>
      </c>
      <c r="E306">
        <v>14060</v>
      </c>
      <c r="F306">
        <v>1</v>
      </c>
      <c r="G306">
        <v>2</v>
      </c>
      <c r="H306">
        <v>100</v>
      </c>
    </row>
    <row r="307" spans="1:8">
      <c r="A307">
        <v>414070</v>
      </c>
      <c r="B307" t="str">
        <f>INDEX(TextData!B:B,MATCH(A307,TextData!A:A))</f>
        <v>ホーミングクルセイド+</v>
      </c>
      <c r="C307">
        <v>6020</v>
      </c>
      <c r="D307" t="str">
        <f>INDEX(Define!Q:Q,MATCH(C307,Define!P:P))</f>
        <v>指定のFeatureのParam2を増やす</v>
      </c>
      <c r="E307">
        <v>14070</v>
      </c>
      <c r="F307">
        <v>0</v>
      </c>
      <c r="G307">
        <v>5</v>
      </c>
      <c r="H307">
        <v>100</v>
      </c>
    </row>
    <row r="308" spans="1:8">
      <c r="A308">
        <v>414080</v>
      </c>
      <c r="B308" t="str">
        <f>INDEX(TextData!B:B,MATCH(A308,TextData!A:A))</f>
        <v>クイックヒール+</v>
      </c>
      <c r="C308">
        <v>6010</v>
      </c>
      <c r="D308" t="str">
        <f>INDEX(Define!Q:Q,MATCH(C308,Define!P:P))</f>
        <v>指定のFeatureのParam1を増やす</v>
      </c>
      <c r="E308">
        <v>14080</v>
      </c>
      <c r="F308">
        <v>0</v>
      </c>
      <c r="G308">
        <v>15</v>
      </c>
      <c r="H308">
        <v>100</v>
      </c>
    </row>
    <row r="309" spans="1:8">
      <c r="A309">
        <v>414090</v>
      </c>
      <c r="B309" t="str">
        <f>INDEX(TextData!B:B,MATCH(A309,TextData!A:A))</f>
        <v>リレイズ+</v>
      </c>
      <c r="C309">
        <v>6080</v>
      </c>
      <c r="D309" t="str">
        <f>INDEX(Define!Q:Q,MATCH(C309,Define!P:P))</f>
        <v>指定魔法のCTリセット値を変更する</v>
      </c>
      <c r="E309">
        <v>14090</v>
      </c>
      <c r="F309">
        <v>0</v>
      </c>
      <c r="G309">
        <v>4</v>
      </c>
      <c r="H309">
        <v>100</v>
      </c>
    </row>
    <row r="310" spans="1:8">
      <c r="A310">
        <v>415010</v>
      </c>
      <c r="B310" t="str">
        <f>INDEX(TextData!B:B,MATCH(A310,TextData!A:A))</f>
        <v>イーグルアイ+</v>
      </c>
      <c r="C310">
        <v>6030</v>
      </c>
      <c r="D310" t="str">
        <f>INDEX(Define!Q:Q,MATCH(C310,Define!P:P))</f>
        <v>指定のFeatureのParam3を増やす</v>
      </c>
      <c r="E310">
        <v>15010</v>
      </c>
      <c r="F310">
        <v>0</v>
      </c>
      <c r="G310">
        <v>25</v>
      </c>
      <c r="H310">
        <v>100</v>
      </c>
    </row>
    <row r="311" spans="1:8">
      <c r="A311">
        <v>415020</v>
      </c>
      <c r="B311" t="str">
        <f>INDEX(TextData!B:B,MATCH(A311,TextData!A:A))</f>
        <v>ネヴァーエンド+</v>
      </c>
      <c r="C311">
        <v>6030</v>
      </c>
      <c r="D311" t="str">
        <f>INDEX(Define!Q:Q,MATCH(C311,Define!P:P))</f>
        <v>指定のFeatureのParam3を増やす</v>
      </c>
      <c r="E311">
        <v>15020</v>
      </c>
      <c r="F311">
        <v>0</v>
      </c>
      <c r="G311">
        <v>50</v>
      </c>
      <c r="H311">
        <v>100</v>
      </c>
    </row>
    <row r="312" spans="1:8">
      <c r="A312">
        <v>415030</v>
      </c>
      <c r="B312" t="str">
        <f>INDEX(TextData!B:B,MATCH(A312,TextData!A:A))</f>
        <v>グレイブアクト+</v>
      </c>
      <c r="C312">
        <v>6010</v>
      </c>
      <c r="D312" t="str">
        <f>INDEX(Define!Q:Q,MATCH(C312,Define!P:P))</f>
        <v>指定のFeatureのParam1を増やす</v>
      </c>
      <c r="E312">
        <v>15030</v>
      </c>
      <c r="F312">
        <v>0</v>
      </c>
      <c r="G312">
        <v>2</v>
      </c>
      <c r="H312">
        <v>100</v>
      </c>
    </row>
    <row r="313" spans="1:8">
      <c r="A313">
        <v>415040</v>
      </c>
      <c r="B313" t="str">
        <f>INDEX(TextData!B:B,MATCH(A313,TextData!A:A))</f>
        <v>スカルグラッジ+</v>
      </c>
      <c r="C313">
        <v>6030</v>
      </c>
      <c r="D313" t="str">
        <f>INDEX(Define!Q:Q,MATCH(C313,Define!P:P))</f>
        <v>指定のFeatureのParam3を増やす</v>
      </c>
      <c r="E313">
        <v>15040</v>
      </c>
      <c r="F313">
        <v>0</v>
      </c>
      <c r="G313">
        <v>10</v>
      </c>
      <c r="H313">
        <v>100</v>
      </c>
    </row>
    <row r="314" spans="1:8">
      <c r="A314">
        <v>415050</v>
      </c>
      <c r="B314" t="str">
        <f>INDEX(TextData!B:B,MATCH(A314,TextData!A:A))</f>
        <v>ネガティブドレイン+</v>
      </c>
      <c r="C314">
        <v>6030</v>
      </c>
      <c r="D314" t="str">
        <f>INDEX(Define!Q:Q,MATCH(C314,Define!P:P))</f>
        <v>指定のFeatureのParam3を増やす</v>
      </c>
      <c r="E314">
        <v>15050</v>
      </c>
      <c r="F314">
        <v>0</v>
      </c>
      <c r="G314">
        <v>25</v>
      </c>
      <c r="H314">
        <v>100</v>
      </c>
    </row>
    <row r="315" spans="1:8">
      <c r="A315">
        <v>415060</v>
      </c>
      <c r="B315" t="str">
        <f>INDEX(TextData!B:B,MATCH(A315,TextData!A:A))</f>
        <v>アンデッドペイン+</v>
      </c>
      <c r="C315">
        <v>6030</v>
      </c>
      <c r="D315" t="str">
        <f>INDEX(Define!Q:Q,MATCH(C315,Define!P:P))</f>
        <v>指定のFeatureのParam3を増やす</v>
      </c>
      <c r="E315">
        <v>15060</v>
      </c>
      <c r="F315">
        <v>0</v>
      </c>
      <c r="G315">
        <v>15</v>
      </c>
      <c r="H315">
        <v>100</v>
      </c>
    </row>
    <row r="316" spans="1:8">
      <c r="A316">
        <v>415070</v>
      </c>
      <c r="B316" t="str">
        <f>INDEX(TextData!B:B,MATCH(A316,TextData!A:A))</f>
        <v>ジャックポッド+</v>
      </c>
      <c r="C316">
        <v>6030</v>
      </c>
      <c r="D316" t="str">
        <f>INDEX(Define!Q:Q,MATCH(C316,Define!P:P))</f>
        <v>指定のFeatureのParam3を増やす</v>
      </c>
      <c r="E316">
        <v>15070</v>
      </c>
      <c r="F316">
        <v>0</v>
      </c>
      <c r="G316">
        <v>75</v>
      </c>
      <c r="H316">
        <v>100</v>
      </c>
    </row>
    <row r="317" spans="1:8">
      <c r="A317">
        <v>415080</v>
      </c>
      <c r="B317" t="str">
        <f>INDEX(TextData!B:B,MATCH(A317,TextData!A:A))</f>
        <v>ヒールハント+</v>
      </c>
      <c r="C317">
        <v>6030</v>
      </c>
      <c r="D317" t="str">
        <f>INDEX(Define!Q:Q,MATCH(C317,Define!P:P))</f>
        <v>指定のFeatureのParam3を増やす</v>
      </c>
      <c r="E317">
        <v>15080</v>
      </c>
      <c r="F317">
        <v>0</v>
      </c>
      <c r="G317">
        <v>50</v>
      </c>
      <c r="H317">
        <v>100</v>
      </c>
    </row>
    <row r="318" spans="1:8">
      <c r="A318">
        <v>415090</v>
      </c>
      <c r="B318" t="str">
        <f>INDEX(TextData!B:B,MATCH(A318,TextData!A:A))</f>
        <v>クイックカース+</v>
      </c>
      <c r="C318">
        <v>6030</v>
      </c>
      <c r="D318" t="str">
        <f>INDEX(Define!Q:Q,MATCH(C318,Define!P:P))</f>
        <v>指定のFeatureのParam3を増やす</v>
      </c>
      <c r="E318">
        <v>15090</v>
      </c>
      <c r="F318">
        <v>0</v>
      </c>
      <c r="G318">
        <v>35</v>
      </c>
      <c r="H318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9"/>
  <sheetViews>
    <sheetView topLeftCell="A52" workbookViewId="0">
      <selection activeCell="F63" sqref="F63"/>
    </sheetView>
  </sheetViews>
  <sheetFormatPr defaultColWidth="8.72727272727273" defaultRowHeight="13" outlineLevelCol="7"/>
  <cols>
    <col min="2" max="2" width="19.7272727272727" customWidth="1"/>
    <col min="4" max="4" width="39" customWidth="1"/>
  </cols>
  <sheetData>
    <row r="1" spans="1:8">
      <c r="A1" t="s">
        <v>18</v>
      </c>
      <c r="B1" t="s">
        <v>4</v>
      </c>
      <c r="C1" t="s">
        <v>24</v>
      </c>
      <c r="D1" t="s">
        <v>4</v>
      </c>
      <c r="E1" t="s">
        <v>25</v>
      </c>
      <c r="F1" t="s">
        <v>20</v>
      </c>
      <c r="G1" t="s">
        <v>21</v>
      </c>
      <c r="H1" t="s">
        <v>22</v>
      </c>
    </row>
    <row r="2" spans="1:8">
      <c r="A2">
        <v>2101</v>
      </c>
      <c r="B2" t="str">
        <f>INDEX(Skills!C:C,MATCH(A2,Skills!A:A))</f>
        <v>ディレイマジック</v>
      </c>
      <c r="C2">
        <v>20140</v>
      </c>
      <c r="D2" t="str">
        <f>INDEX(Define!V:V,MATCH(C2,Define!U:U))</f>
        <v>自身の攻撃で敵を倒す</v>
      </c>
      <c r="E2">
        <v>2</v>
      </c>
      <c r="F2">
        <v>0</v>
      </c>
      <c r="G2">
        <v>0</v>
      </c>
      <c r="H2">
        <v>0</v>
      </c>
    </row>
    <row r="3" spans="1:8">
      <c r="A3">
        <v>3021</v>
      </c>
      <c r="B3" t="str">
        <f>INDEX(Skills!C:C,MATCH(A3,Skills!A:A))</f>
        <v>カウンターオーラ</v>
      </c>
      <c r="C3">
        <v>6010</v>
      </c>
      <c r="D3" t="str">
        <f>INDEX(Define!V:V,MATCH(C3,Define!U:U))</f>
        <v>StateId状態になっている</v>
      </c>
      <c r="E3">
        <v>2</v>
      </c>
      <c r="F3">
        <v>2030</v>
      </c>
      <c r="G3">
        <v>0</v>
      </c>
      <c r="H3">
        <v>0</v>
      </c>
    </row>
    <row r="4" spans="1:8">
      <c r="A4">
        <v>10010</v>
      </c>
      <c r="B4" t="str">
        <f>INDEX(Skills!C:C,MATCH(A4,Skills!A:A))</f>
        <v>アンデッド</v>
      </c>
      <c r="C4">
        <v>0</v>
      </c>
      <c r="D4" t="str">
        <f>INDEX(Define!V:V,MATCH(C4,Define!U:U))</f>
        <v>なし</v>
      </c>
      <c r="E4">
        <v>4</v>
      </c>
      <c r="F4">
        <v>0</v>
      </c>
      <c r="G4">
        <v>0</v>
      </c>
      <c r="H4">
        <v>0</v>
      </c>
    </row>
    <row r="5" spans="1:8">
      <c r="A5">
        <v>10020</v>
      </c>
      <c r="B5" t="str">
        <f>INDEX(Skills!C:C,MATCH(A5,Skills!A:A))</f>
        <v>エアリアル</v>
      </c>
      <c r="C5">
        <v>14410</v>
      </c>
      <c r="D5" t="str">
        <f>INDEX(Define!V:V,MATCH(C5,Define!U:U))</f>
        <v>Lvが〇以上</v>
      </c>
      <c r="E5">
        <v>4</v>
      </c>
      <c r="F5">
        <v>20</v>
      </c>
      <c r="G5">
        <v>0</v>
      </c>
      <c r="H5">
        <v>0</v>
      </c>
    </row>
    <row r="6" spans="1:8">
      <c r="A6">
        <v>10030</v>
      </c>
      <c r="B6" t="str">
        <f>INDEX(Skills!C:C,MATCH(A6,Skills!A:A))</f>
        <v>悪魔</v>
      </c>
      <c r="C6">
        <v>0</v>
      </c>
      <c r="D6" t="str">
        <f>INDEX(Define!V:V,MATCH(C6,Define!U:U))</f>
        <v>なし</v>
      </c>
      <c r="E6">
        <v>4</v>
      </c>
      <c r="F6">
        <v>0</v>
      </c>
      <c r="G6">
        <v>0</v>
      </c>
      <c r="H6">
        <v>0</v>
      </c>
    </row>
    <row r="7" spans="1:8">
      <c r="A7">
        <v>10040</v>
      </c>
      <c r="B7" t="str">
        <f>INDEX(Skills!C:C,MATCH(A7,Skills!A:A))</f>
        <v>クリーチャー</v>
      </c>
      <c r="C7">
        <v>14410</v>
      </c>
      <c r="D7" t="str">
        <f>INDEX(Define!V:V,MATCH(C7,Define!U:U))</f>
        <v>Lvが〇以上</v>
      </c>
      <c r="E7">
        <v>4</v>
      </c>
      <c r="F7">
        <v>20</v>
      </c>
      <c r="G7">
        <v>0</v>
      </c>
      <c r="H7">
        <v>0</v>
      </c>
    </row>
    <row r="8" spans="1:8">
      <c r="A8">
        <v>10050</v>
      </c>
      <c r="B8" t="str">
        <f>INDEX(Skills!C:C,MATCH(A8,Skills!A:A))</f>
        <v>野生の記憶</v>
      </c>
      <c r="C8">
        <v>14410</v>
      </c>
      <c r="D8" t="str">
        <f>INDEX(Define!V:V,MATCH(C8,Define!U:U))</f>
        <v>Lvが〇以上</v>
      </c>
      <c r="E8">
        <v>4</v>
      </c>
      <c r="F8">
        <v>20</v>
      </c>
      <c r="G8">
        <v>0</v>
      </c>
      <c r="H8">
        <v>0</v>
      </c>
    </row>
    <row r="9" spans="1:8">
      <c r="A9">
        <v>10060</v>
      </c>
      <c r="B9" t="str">
        <f>INDEX(Skills!C:C,MATCH(A9,Skills!A:A))</f>
        <v>変異生物</v>
      </c>
      <c r="C9">
        <v>14410</v>
      </c>
      <c r="D9" t="str">
        <f>INDEX(Define!V:V,MATCH(C9,Define!U:U))</f>
        <v>Lvが〇以上</v>
      </c>
      <c r="E9">
        <v>4</v>
      </c>
      <c r="F9">
        <v>20</v>
      </c>
      <c r="G9">
        <v>0</v>
      </c>
      <c r="H9">
        <v>0</v>
      </c>
    </row>
    <row r="10" spans="1:8">
      <c r="A10">
        <v>11010</v>
      </c>
      <c r="B10" t="str">
        <f>INDEX(Skills!C:C,MATCH(A10,Skills!A:A))</f>
        <v>ウルフソウル</v>
      </c>
      <c r="C10">
        <v>0</v>
      </c>
      <c r="D10" t="str">
        <f>INDEX(Define!V:V,MATCH(C10,Define!U:U))</f>
        <v>なし</v>
      </c>
      <c r="E10">
        <v>4</v>
      </c>
      <c r="F10">
        <v>0</v>
      </c>
      <c r="G10">
        <v>0</v>
      </c>
      <c r="H10">
        <v>0</v>
      </c>
    </row>
    <row r="11" spans="1:8">
      <c r="A11">
        <v>11020</v>
      </c>
      <c r="B11" t="str">
        <f>INDEX(Skills!C:C,MATCH(A11,Skills!A:A))</f>
        <v>プリディカメント</v>
      </c>
      <c r="C11">
        <v>1010</v>
      </c>
      <c r="D11" t="str">
        <f>INDEX(Define!V:V,MATCH(C11,Define!U:U))</f>
        <v>自身のHpが〇%以下</v>
      </c>
      <c r="E11">
        <v>2</v>
      </c>
      <c r="F11">
        <v>25</v>
      </c>
      <c r="G11">
        <v>0</v>
      </c>
      <c r="H11">
        <v>0</v>
      </c>
    </row>
    <row r="12" spans="1:8">
      <c r="A12">
        <v>11030</v>
      </c>
      <c r="B12" t="str">
        <f>INDEX(Skills!C:C,MATCH(A12,Skills!A:A))</f>
        <v>アサルトシフト</v>
      </c>
      <c r="C12">
        <v>0</v>
      </c>
      <c r="D12" t="str">
        <f>INDEX(Define!V:V,MATCH(C12,Define!U:U))</f>
        <v>なし</v>
      </c>
      <c r="E12">
        <v>4</v>
      </c>
      <c r="F12">
        <v>0</v>
      </c>
      <c r="G12">
        <v>0</v>
      </c>
      <c r="H12">
        <v>0</v>
      </c>
    </row>
    <row r="13" spans="1:8">
      <c r="A13">
        <v>11040</v>
      </c>
      <c r="B13" t="str">
        <f>INDEX(Skills!C:C,MATCH(A13,Skills!A:A))</f>
        <v>アクティブギフト</v>
      </c>
      <c r="C13">
        <v>15011</v>
      </c>
      <c r="D13" t="str">
        <f>INDEX(Define!V:V,MATCH(C13,Define!U:U))</f>
        <v>味方が攻撃タイプの行動をしようとしている</v>
      </c>
      <c r="E13">
        <v>33</v>
      </c>
      <c r="F13">
        <v>0</v>
      </c>
      <c r="G13">
        <v>0</v>
      </c>
      <c r="H13">
        <v>0</v>
      </c>
    </row>
    <row r="14" spans="1:8">
      <c r="A14">
        <v>11050</v>
      </c>
      <c r="B14" t="str">
        <f>INDEX(Skills!C:C,MATCH(A14,Skills!A:A))</f>
        <v>イグナイテッド</v>
      </c>
      <c r="C14">
        <v>6010</v>
      </c>
      <c r="D14" t="str">
        <f>INDEX(Define!V:V,MATCH(C14,Define!U:U))</f>
        <v>StateId状態になっている</v>
      </c>
      <c r="E14">
        <v>2</v>
      </c>
      <c r="F14">
        <v>1010</v>
      </c>
      <c r="G14">
        <v>1</v>
      </c>
      <c r="H14">
        <v>1</v>
      </c>
    </row>
    <row r="15" spans="1:8">
      <c r="A15">
        <v>11050</v>
      </c>
      <c r="B15" t="str">
        <f>INDEX(Skills!C:C,MATCH(A15,Skills!A:A))</f>
        <v>イグナイテッド</v>
      </c>
      <c r="C15">
        <v>11010</v>
      </c>
      <c r="D15" t="str">
        <f>INDEX(Define!V:V,MATCH(C15,Define!U:U))</f>
        <v>バトル中使用回数が〇以下</v>
      </c>
      <c r="E15">
        <v>2</v>
      </c>
      <c r="F15">
        <v>1</v>
      </c>
      <c r="G15">
        <v>0</v>
      </c>
      <c r="H15">
        <v>0</v>
      </c>
    </row>
    <row r="16" spans="1:8">
      <c r="A16">
        <v>11060</v>
      </c>
      <c r="B16" t="str">
        <f>INDEX(Skills!C:C,MATCH(A16,Skills!A:A))</f>
        <v>ライジングファイア</v>
      </c>
      <c r="C16">
        <v>20140</v>
      </c>
      <c r="D16" t="str">
        <f>INDEX(Define!V:V,MATCH(C16,Define!U:U))</f>
        <v>自身の攻撃で敵を倒す</v>
      </c>
      <c r="E16">
        <v>11</v>
      </c>
      <c r="F16">
        <v>0</v>
      </c>
      <c r="G16">
        <v>0</v>
      </c>
      <c r="H16">
        <v>0</v>
      </c>
    </row>
    <row r="17" spans="1:8">
      <c r="A17">
        <v>11070</v>
      </c>
      <c r="B17" t="str">
        <f>INDEX(Skills!C:C,MATCH(A17,Skills!A:A))</f>
        <v>ルージュバック</v>
      </c>
      <c r="C17">
        <v>12060</v>
      </c>
      <c r="D17" t="str">
        <f>INDEX(Define!V:V,MATCH(C17,Define!U:U))</f>
        <v>味方が攻撃を受ける。Param2で対象指定</v>
      </c>
      <c r="E17">
        <v>11</v>
      </c>
      <c r="F17">
        <v>0</v>
      </c>
      <c r="G17">
        <v>4</v>
      </c>
      <c r="H17">
        <v>0</v>
      </c>
    </row>
    <row r="18" spans="1:8">
      <c r="A18">
        <v>11080</v>
      </c>
      <c r="B18" t="str">
        <f>INDEX(Skills!C:C,MATCH(A18,Skills!A:A))</f>
        <v>パワーエール</v>
      </c>
      <c r="C18">
        <v>15011</v>
      </c>
      <c r="D18" t="str">
        <f>INDEX(Define!V:V,MATCH(C18,Define!U:U))</f>
        <v>味方が攻撃タイプの行動をしようとしている</v>
      </c>
      <c r="E18">
        <v>33</v>
      </c>
      <c r="F18">
        <v>0</v>
      </c>
      <c r="G18">
        <v>0</v>
      </c>
      <c r="H18">
        <v>0</v>
      </c>
    </row>
    <row r="19" spans="1:8">
      <c r="A19">
        <v>11090</v>
      </c>
      <c r="B19" t="str">
        <f>INDEX(Skills!C:C,MATCH(A19,Skills!A:A))</f>
        <v>スレイプニル</v>
      </c>
      <c r="C19">
        <v>15010</v>
      </c>
      <c r="D19" t="str">
        <f>INDEX(Define!V:V,MATCH(C19,Define!U:U))</f>
        <v>自身が攻撃タイプの行動をしようとしている</v>
      </c>
      <c r="E19">
        <v>31</v>
      </c>
      <c r="F19">
        <v>0</v>
      </c>
      <c r="G19">
        <v>0</v>
      </c>
      <c r="H19">
        <v>0</v>
      </c>
    </row>
    <row r="20" spans="1:8">
      <c r="A20">
        <v>12010</v>
      </c>
      <c r="B20" t="str">
        <f>INDEX(Skills!C:C,MATCH(A20,Skills!A:A))</f>
        <v>エクステンション</v>
      </c>
      <c r="C20">
        <v>0</v>
      </c>
      <c r="D20" t="str">
        <f>INDEX(Define!V:V,MATCH(C20,Define!U:U))</f>
        <v>なし</v>
      </c>
      <c r="E20">
        <v>4</v>
      </c>
      <c r="F20">
        <v>0</v>
      </c>
      <c r="G20">
        <v>0</v>
      </c>
      <c r="H20">
        <v>0</v>
      </c>
    </row>
    <row r="21" spans="1:8">
      <c r="A21">
        <v>12020</v>
      </c>
      <c r="B21" t="str">
        <f>INDEX(Skills!C:C,MATCH(A21,Skills!A:A))</f>
        <v>ヘブンリーラック</v>
      </c>
      <c r="C21">
        <v>0</v>
      </c>
      <c r="D21" t="str">
        <f>INDEX(Define!V:V,MATCH(C21,Define!U:U))</f>
        <v>なし</v>
      </c>
      <c r="E21">
        <v>4</v>
      </c>
      <c r="F21">
        <v>0</v>
      </c>
      <c r="G21">
        <v>0</v>
      </c>
      <c r="H21">
        <v>0</v>
      </c>
    </row>
    <row r="22" spans="1:8">
      <c r="A22">
        <v>12030</v>
      </c>
      <c r="B22" t="str">
        <f>INDEX(Skills!C:C,MATCH(A22,Skills!A:A))</f>
        <v>スウィフトカレント</v>
      </c>
      <c r="C22">
        <v>0</v>
      </c>
      <c r="D22" t="str">
        <f>INDEX(Define!V:V,MATCH(C22,Define!U:U))</f>
        <v>なし</v>
      </c>
      <c r="E22">
        <v>4</v>
      </c>
      <c r="F22">
        <v>0</v>
      </c>
      <c r="G22">
        <v>0</v>
      </c>
      <c r="H22">
        <v>0</v>
      </c>
    </row>
    <row r="23" spans="1:8">
      <c r="A23">
        <v>12040</v>
      </c>
      <c r="B23" t="str">
        <f>INDEX(Skills!C:C,MATCH(A23,Skills!A:A))</f>
        <v>イヴェイドオール</v>
      </c>
      <c r="C23">
        <v>0</v>
      </c>
      <c r="D23" t="str">
        <f>INDEX(Define!V:V,MATCH(C23,Define!U:U))</f>
        <v>なし</v>
      </c>
      <c r="E23">
        <v>4</v>
      </c>
      <c r="F23">
        <v>0</v>
      </c>
      <c r="G23">
        <v>0</v>
      </c>
      <c r="H23">
        <v>0</v>
      </c>
    </row>
    <row r="24" spans="1:8">
      <c r="A24">
        <v>12050</v>
      </c>
      <c r="B24" t="str">
        <f>INDEX(Skills!C:C,MATCH(A24,Skills!A:A))</f>
        <v>クイックムーブ</v>
      </c>
      <c r="C24">
        <v>0</v>
      </c>
      <c r="D24" t="str">
        <f>INDEX(Define!V:V,MATCH(C24,Define!U:U))</f>
        <v>なし</v>
      </c>
      <c r="E24">
        <v>4</v>
      </c>
      <c r="F24">
        <v>0</v>
      </c>
      <c r="G24">
        <v>0</v>
      </c>
      <c r="H24">
        <v>0</v>
      </c>
    </row>
    <row r="25" spans="1:8">
      <c r="A25">
        <v>12060</v>
      </c>
      <c r="B25" t="str">
        <f>INDEX(Skills!C:C,MATCH(A25,Skills!A:A))</f>
        <v>チェイスマジック</v>
      </c>
      <c r="C25">
        <v>12071</v>
      </c>
      <c r="D25" t="str">
        <f>INDEX(Define!V:V,MATCH(C25,Define!U:U))</f>
        <v>味方が攻撃を成功する</v>
      </c>
      <c r="E25">
        <v>2</v>
      </c>
      <c r="F25">
        <v>0</v>
      </c>
      <c r="G25">
        <v>0</v>
      </c>
      <c r="H25">
        <v>0</v>
      </c>
    </row>
    <row r="26" spans="1:8">
      <c r="A26">
        <v>12070</v>
      </c>
      <c r="B26" t="str">
        <f>INDEX(Skills!C:C,MATCH(A26,Skills!A:A))</f>
        <v>ソーサリーコネクト</v>
      </c>
      <c r="C26">
        <v>15011</v>
      </c>
      <c r="D26" t="str">
        <f>INDEX(Define!V:V,MATCH(C26,Define!U:U))</f>
        <v>味方が攻撃タイプの行動をしようとしている</v>
      </c>
      <c r="E26">
        <v>33</v>
      </c>
      <c r="F26">
        <v>0</v>
      </c>
      <c r="G26">
        <v>0</v>
      </c>
      <c r="H26">
        <v>0</v>
      </c>
    </row>
    <row r="27" spans="1:8">
      <c r="A27">
        <v>12080</v>
      </c>
      <c r="B27" t="str">
        <f>INDEX(Skills!C:C,MATCH(A27,Skills!A:A))</f>
        <v>ウィンドライズ</v>
      </c>
      <c r="C27">
        <v>23010</v>
      </c>
      <c r="D27" t="str">
        <f>INDEX(Define!V:V,MATCH(C27,Define!U:U))</f>
        <v>攻撃を回避した時</v>
      </c>
      <c r="E27">
        <v>2</v>
      </c>
      <c r="F27">
        <v>0</v>
      </c>
      <c r="G27">
        <v>0</v>
      </c>
      <c r="H27">
        <v>0</v>
      </c>
    </row>
    <row r="28" spans="1:8">
      <c r="A28">
        <v>12090</v>
      </c>
      <c r="B28" t="str">
        <f>INDEX(Skills!C:C,MATCH(A28,Skills!A:A))</f>
        <v>アウトオブオーダー</v>
      </c>
      <c r="C28">
        <v>0</v>
      </c>
      <c r="D28" t="str">
        <f>INDEX(Define!V:V,MATCH(C28,Define!U:U))</f>
        <v>なし</v>
      </c>
      <c r="E28">
        <v>4</v>
      </c>
      <c r="F28">
        <v>0</v>
      </c>
      <c r="G28">
        <v>0</v>
      </c>
      <c r="H28">
        <v>0</v>
      </c>
    </row>
    <row r="29" spans="1:8">
      <c r="A29">
        <v>13010</v>
      </c>
      <c r="B29" t="str">
        <f>INDEX(Skills!C:C,MATCH(A29,Skills!A:A))</f>
        <v>アーマーコード</v>
      </c>
      <c r="C29">
        <v>0</v>
      </c>
      <c r="D29" t="str">
        <f>INDEX(Define!V:V,MATCH(C29,Define!U:U))</f>
        <v>なし</v>
      </c>
      <c r="E29">
        <v>4</v>
      </c>
      <c r="F29">
        <v>0</v>
      </c>
      <c r="G29">
        <v>0</v>
      </c>
      <c r="H29">
        <v>0</v>
      </c>
    </row>
    <row r="30" spans="1:8">
      <c r="A30">
        <v>13020</v>
      </c>
      <c r="B30" t="str">
        <f>INDEX(Skills!C:C,MATCH(A30,Skills!A:A))</f>
        <v>クイックバリア</v>
      </c>
      <c r="C30">
        <v>12060</v>
      </c>
      <c r="D30" t="str">
        <f>INDEX(Define!V:V,MATCH(C30,Define!U:U))</f>
        <v>味方が攻撃を受ける。Param2で対象指定</v>
      </c>
      <c r="E30">
        <v>3</v>
      </c>
      <c r="F30">
        <v>0</v>
      </c>
      <c r="G30">
        <v>0</v>
      </c>
      <c r="H30">
        <v>0</v>
      </c>
    </row>
    <row r="31" spans="1:8">
      <c r="A31">
        <v>13030</v>
      </c>
      <c r="B31" t="str">
        <f>INDEX(Skills!C:C,MATCH(A31,Skills!A:A))</f>
        <v>クイックキュア</v>
      </c>
      <c r="C31">
        <v>12042</v>
      </c>
      <c r="D31" t="str">
        <f>INDEX(Define!V:V,MATCH(C31,Define!U:U))</f>
        <v>攻撃を受けた対象がAbnorml状態になった</v>
      </c>
      <c r="E31">
        <v>2</v>
      </c>
      <c r="F31">
        <v>0</v>
      </c>
      <c r="G31">
        <v>0</v>
      </c>
      <c r="H31">
        <v>0</v>
      </c>
    </row>
    <row r="32" ht="12" customHeight="1" spans="1:8">
      <c r="A32">
        <v>13040</v>
      </c>
      <c r="B32" t="str">
        <f>INDEX(Skills!C:C,MATCH(A32,Skills!A:A))</f>
        <v>セルフシールド</v>
      </c>
      <c r="C32">
        <v>12060</v>
      </c>
      <c r="D32" t="str">
        <f>INDEX(Define!V:V,MATCH(C32,Define!U:U))</f>
        <v>味方が攻撃を受ける。Param2で対象指定</v>
      </c>
      <c r="E32">
        <v>3</v>
      </c>
      <c r="F32">
        <v>0</v>
      </c>
      <c r="G32">
        <v>4</v>
      </c>
      <c r="H32">
        <v>0</v>
      </c>
    </row>
    <row r="33" spans="1:8">
      <c r="A33">
        <v>13050</v>
      </c>
      <c r="B33" t="str">
        <f>INDEX(Skills!C:C,MATCH(A33,Skills!A:A))</f>
        <v>パッシブジャミング</v>
      </c>
      <c r="C33">
        <v>15022</v>
      </c>
      <c r="D33" t="str">
        <f>INDEX(Define!V:V,MATCH(C33,Define!U:U))</f>
        <v>相手がバフの行動をしようとしている</v>
      </c>
      <c r="E33">
        <v>33</v>
      </c>
      <c r="F33">
        <v>0</v>
      </c>
      <c r="G33">
        <v>0</v>
      </c>
      <c r="H33">
        <v>0</v>
      </c>
    </row>
    <row r="34" spans="1:8">
      <c r="A34">
        <v>13060</v>
      </c>
      <c r="B34" t="str">
        <f>INDEX(Skills!C:C,MATCH(A34,Skills!A:A))</f>
        <v>サプライカバー</v>
      </c>
      <c r="C34">
        <v>12060</v>
      </c>
      <c r="D34" t="str">
        <f>INDEX(Define!V:V,MATCH(C34,Define!U:U))</f>
        <v>味方が攻撃を受ける。Param2で対象指定</v>
      </c>
      <c r="E34">
        <v>41</v>
      </c>
      <c r="F34">
        <v>0</v>
      </c>
      <c r="G34">
        <v>13</v>
      </c>
      <c r="H34">
        <v>0</v>
      </c>
    </row>
    <row r="35" spans="1:8">
      <c r="A35">
        <v>13070</v>
      </c>
      <c r="B35" t="str">
        <f>INDEX(Skills!C:C,MATCH(A35,Skills!A:A))</f>
        <v>アシッドラッシュ</v>
      </c>
      <c r="C35">
        <v>10010</v>
      </c>
      <c r="D35" t="str">
        <f>INDEX(Define!V:V,MATCH(C35,Define!U:U))</f>
        <v>攻撃成功時〇%で</v>
      </c>
      <c r="E35">
        <v>1</v>
      </c>
      <c r="F35">
        <v>33</v>
      </c>
      <c r="G35">
        <v>0</v>
      </c>
      <c r="H35">
        <v>0</v>
      </c>
    </row>
    <row r="36" spans="1:8">
      <c r="A36">
        <v>13080</v>
      </c>
      <c r="B36" t="str">
        <f>INDEX(Skills!C:C,MATCH(A36,Skills!A:A))</f>
        <v>ライフスティール</v>
      </c>
      <c r="C36">
        <v>15010</v>
      </c>
      <c r="D36" t="str">
        <f>INDEX(Define!V:V,MATCH(C36,Define!U:U))</f>
        <v>自身が攻撃タイプの行動をしようとしている</v>
      </c>
      <c r="E36">
        <v>31</v>
      </c>
      <c r="F36">
        <v>0</v>
      </c>
      <c r="G36">
        <v>0</v>
      </c>
      <c r="H36">
        <v>0</v>
      </c>
    </row>
    <row r="37" spans="1:8">
      <c r="A37">
        <v>13090</v>
      </c>
      <c r="B37" t="str">
        <f>INDEX(Skills!C:C,MATCH(A37,Skills!A:A))</f>
        <v>アイスセイバー</v>
      </c>
      <c r="C37">
        <v>10110</v>
      </c>
      <c r="D37" t="str">
        <f>INDEX(Define!V:V,MATCH(C37,Define!U:U))</f>
        <v>攻撃成功時相手が凍結ではない</v>
      </c>
      <c r="E37">
        <v>2</v>
      </c>
      <c r="F37">
        <v>0</v>
      </c>
      <c r="G37">
        <v>0</v>
      </c>
      <c r="H37">
        <v>0</v>
      </c>
    </row>
    <row r="38" spans="1:8">
      <c r="A38">
        <v>14010</v>
      </c>
      <c r="B38" t="str">
        <f>INDEX(Skills!C:C,MATCH(A38,Skills!A:A))</f>
        <v>ディバインシールド</v>
      </c>
      <c r="C38">
        <v>0</v>
      </c>
      <c r="D38" t="str">
        <f>INDEX(Define!V:V,MATCH(C38,Define!U:U))</f>
        <v>なし</v>
      </c>
      <c r="E38">
        <v>4</v>
      </c>
      <c r="F38">
        <v>0</v>
      </c>
      <c r="G38">
        <v>0</v>
      </c>
      <c r="H38">
        <v>0</v>
      </c>
    </row>
    <row r="39" spans="1:8">
      <c r="A39">
        <v>14020</v>
      </c>
      <c r="B39" t="str">
        <f>INDEX(Skills!C:C,MATCH(A39,Skills!A:A))</f>
        <v>ライフディバイド</v>
      </c>
      <c r="C39">
        <v>12040</v>
      </c>
      <c r="D39" t="str">
        <f>INDEX(Define!V:V,MATCH(C39,Define!U:U))</f>
        <v>攻撃を受けた対象のHpがParam1%以下 Param2==1で生存判定しない</v>
      </c>
      <c r="E39">
        <v>11</v>
      </c>
      <c r="F39">
        <v>100</v>
      </c>
      <c r="G39">
        <v>0</v>
      </c>
      <c r="H39">
        <v>1</v>
      </c>
    </row>
    <row r="40" spans="1:8">
      <c r="A40">
        <v>14020</v>
      </c>
      <c r="B40" t="str">
        <f>INDEX(Skills!C:C,MATCH(A40,Skills!A:A))</f>
        <v>ライフディバイド</v>
      </c>
      <c r="C40">
        <v>1020</v>
      </c>
      <c r="D40" t="str">
        <f>INDEX(Define!V:V,MATCH(C40,Define!U:U))</f>
        <v>自身のHpが〇%以上</v>
      </c>
      <c r="E40">
        <v>11</v>
      </c>
      <c r="F40">
        <v>25</v>
      </c>
      <c r="G40">
        <v>0</v>
      </c>
      <c r="H40">
        <v>1</v>
      </c>
    </row>
    <row r="41" spans="1:8">
      <c r="A41">
        <v>14020</v>
      </c>
      <c r="B41" t="str">
        <f>INDEX(Skills!C:C,MATCH(A41,Skills!A:A))</f>
        <v>ライフディバイド</v>
      </c>
      <c r="C41">
        <v>9120</v>
      </c>
      <c r="D41" t="str">
        <f>INDEX(Define!V:V,MATCH(C41,Define!U:U))</f>
        <v>自身を対象にしない</v>
      </c>
      <c r="E41">
        <v>11</v>
      </c>
      <c r="F41">
        <v>0</v>
      </c>
      <c r="G41">
        <v>0</v>
      </c>
      <c r="H41">
        <v>0</v>
      </c>
    </row>
    <row r="42" spans="1:8">
      <c r="A42">
        <v>14030</v>
      </c>
      <c r="B42" t="str">
        <f>INDEX(Skills!C:C,MATCH(A42,Skills!A:A))</f>
        <v>エイミングスコープ</v>
      </c>
      <c r="C42">
        <v>0</v>
      </c>
      <c r="D42" t="str">
        <f>INDEX(Define!V:V,MATCH(C42,Define!U:U))</f>
        <v>なし</v>
      </c>
      <c r="E42">
        <v>4</v>
      </c>
      <c r="F42">
        <v>0</v>
      </c>
      <c r="G42">
        <v>0</v>
      </c>
      <c r="H42">
        <v>0</v>
      </c>
    </row>
    <row r="43" spans="1:8">
      <c r="A43">
        <v>14040</v>
      </c>
      <c r="B43" t="str">
        <f>INDEX(Skills!C:C,MATCH(A43,Skills!A:A))</f>
        <v>リジェネレーション</v>
      </c>
      <c r="C43">
        <v>0</v>
      </c>
      <c r="D43" t="str">
        <f>INDEX(Define!V:V,MATCH(C43,Define!U:U))</f>
        <v>なし</v>
      </c>
      <c r="E43">
        <v>4</v>
      </c>
      <c r="F43">
        <v>0</v>
      </c>
      <c r="G43">
        <v>0</v>
      </c>
      <c r="H43">
        <v>0</v>
      </c>
    </row>
    <row r="44" spans="1:8">
      <c r="A44">
        <v>14050</v>
      </c>
      <c r="B44" t="str">
        <f>INDEX(Skills!C:C,MATCH(A44,Skills!A:A))</f>
        <v>ホープフルアイリス</v>
      </c>
      <c r="C44">
        <v>0</v>
      </c>
      <c r="D44" t="str">
        <f>INDEX(Define!V:V,MATCH(C44,Define!U:U))</f>
        <v>なし</v>
      </c>
      <c r="E44">
        <v>4</v>
      </c>
      <c r="F44">
        <v>0</v>
      </c>
      <c r="G44">
        <v>0</v>
      </c>
      <c r="H44">
        <v>0</v>
      </c>
    </row>
    <row r="45" spans="1:8">
      <c r="A45">
        <v>14060</v>
      </c>
      <c r="B45" t="str">
        <f>INDEX(Skills!C:C,MATCH(A45,Skills!A:A))</f>
        <v>パッシブサプライ</v>
      </c>
      <c r="C45">
        <v>12066</v>
      </c>
      <c r="D45" t="str">
        <f>INDEX(Define!V:V,MATCH(C45,Define!U:U))</f>
        <v>自身がパッシブを受ける</v>
      </c>
      <c r="E45">
        <v>2</v>
      </c>
      <c r="F45">
        <v>0</v>
      </c>
      <c r="G45">
        <v>0</v>
      </c>
      <c r="H45">
        <v>1</v>
      </c>
    </row>
    <row r="46" spans="1:8">
      <c r="A46">
        <v>14060</v>
      </c>
      <c r="B46" t="str">
        <f>INDEX(Skills!C:C,MATCH(A46,Skills!A:A))</f>
        <v>パッシブサプライ</v>
      </c>
      <c r="C46">
        <v>11020</v>
      </c>
      <c r="D46" t="str">
        <f>INDEX(Define!V:V,MATCH(C46,Define!U:U))</f>
        <v>ターン中使用回数が〇以下</v>
      </c>
      <c r="E46">
        <v>2</v>
      </c>
      <c r="F46">
        <v>1</v>
      </c>
      <c r="G46">
        <v>0</v>
      </c>
      <c r="H46">
        <v>0</v>
      </c>
    </row>
    <row r="47" spans="1:8">
      <c r="A47">
        <v>14070</v>
      </c>
      <c r="B47" t="str">
        <f>INDEX(Skills!C:C,MATCH(A47,Skills!A:A))</f>
        <v>ホーミングクルセイド</v>
      </c>
      <c r="C47">
        <v>0</v>
      </c>
      <c r="D47" t="str">
        <f>INDEX(Define!V:V,MATCH(C47,Define!U:U))</f>
        <v>なし</v>
      </c>
      <c r="E47">
        <v>4</v>
      </c>
      <c r="F47">
        <v>0</v>
      </c>
      <c r="G47">
        <v>0</v>
      </c>
      <c r="H47">
        <v>0</v>
      </c>
    </row>
    <row r="48" spans="1:8">
      <c r="A48">
        <v>14080</v>
      </c>
      <c r="B48" t="str">
        <f>INDEX(Skills!C:C,MATCH(A48,Skills!A:A))</f>
        <v>クイックヒール</v>
      </c>
      <c r="C48">
        <v>12040</v>
      </c>
      <c r="D48" t="str">
        <f>INDEX(Define!V:V,MATCH(C48,Define!U:U))</f>
        <v>攻撃を受けた対象のHpがParam1%以下 Param2==1で生存判定しない</v>
      </c>
      <c r="E48">
        <v>11</v>
      </c>
      <c r="F48">
        <v>100</v>
      </c>
      <c r="G48">
        <v>0</v>
      </c>
      <c r="H48">
        <v>1</v>
      </c>
    </row>
    <row r="49" spans="1:8">
      <c r="A49">
        <v>14080</v>
      </c>
      <c r="B49" t="str">
        <f>INDEX(Skills!C:C,MATCH(A49,Skills!A:A))</f>
        <v>クイックヒール</v>
      </c>
      <c r="C49">
        <v>18010</v>
      </c>
      <c r="D49" t="str">
        <f>INDEX(Define!V:V,MATCH(C49,Define!U:U))</f>
        <v>自分の味方である</v>
      </c>
      <c r="E49">
        <v>11</v>
      </c>
      <c r="F49">
        <v>0</v>
      </c>
      <c r="G49">
        <v>0</v>
      </c>
      <c r="H49">
        <v>0</v>
      </c>
    </row>
    <row r="50" spans="1:8">
      <c r="A50">
        <v>14090</v>
      </c>
      <c r="B50" t="str">
        <f>INDEX(Skills!C:C,MATCH(A50,Skills!A:A))</f>
        <v>リレイズ</v>
      </c>
      <c r="C50">
        <v>20050</v>
      </c>
      <c r="D50" t="str">
        <f>INDEX(Define!V:V,MATCH(C50,Define!U:U))</f>
        <v>自身が戦闘不能になる</v>
      </c>
      <c r="E50">
        <v>3</v>
      </c>
      <c r="F50">
        <v>0</v>
      </c>
      <c r="G50">
        <v>0</v>
      </c>
      <c r="H50">
        <v>0</v>
      </c>
    </row>
    <row r="51" spans="1:8">
      <c r="A51">
        <v>15010</v>
      </c>
      <c r="B51" t="str">
        <f>INDEX(Skills!C:C,MATCH(A51,Skills!A:A))</f>
        <v>イーグルアイ</v>
      </c>
      <c r="C51">
        <v>0</v>
      </c>
      <c r="D51" t="str">
        <f>INDEX(Define!V:V,MATCH(C51,Define!U:U))</f>
        <v>なし</v>
      </c>
      <c r="E51">
        <v>4</v>
      </c>
      <c r="F51">
        <v>0</v>
      </c>
      <c r="G51">
        <v>0</v>
      </c>
      <c r="H51">
        <v>0</v>
      </c>
    </row>
    <row r="52" spans="1:8">
      <c r="A52">
        <v>15020</v>
      </c>
      <c r="B52" t="str">
        <f>INDEX(Skills!C:C,MATCH(A52,Skills!A:A))</f>
        <v>ネヴァーエンド</v>
      </c>
      <c r="C52">
        <v>1010</v>
      </c>
      <c r="D52" t="str">
        <f>INDEX(Define!V:V,MATCH(C52,Define!U:U))</f>
        <v>自身のHpが〇%以下</v>
      </c>
      <c r="E52">
        <v>2</v>
      </c>
      <c r="F52">
        <v>25</v>
      </c>
      <c r="G52">
        <v>0</v>
      </c>
      <c r="H52">
        <v>0</v>
      </c>
    </row>
    <row r="53" spans="1:8">
      <c r="A53">
        <v>15030</v>
      </c>
      <c r="B53" t="str">
        <f>INDEX(Skills!C:C,MATCH(A53,Skills!A:A))</f>
        <v>グレイブアクト</v>
      </c>
      <c r="C53">
        <v>12041</v>
      </c>
      <c r="D53" t="str">
        <f>INDEX(Define!V:V,MATCH(C53,Define!U:U))</f>
        <v>攻撃を受けた対象が戦闘不能になった</v>
      </c>
      <c r="E53">
        <v>2</v>
      </c>
      <c r="F53">
        <v>0</v>
      </c>
      <c r="G53">
        <v>0</v>
      </c>
      <c r="H53">
        <v>0</v>
      </c>
    </row>
    <row r="54" spans="1:8">
      <c r="A54">
        <v>15040</v>
      </c>
      <c r="B54" t="str">
        <f>INDEX(Skills!C:C,MATCH(A54,Skills!A:A))</f>
        <v>スカルグラッジ</v>
      </c>
      <c r="C54">
        <v>1020</v>
      </c>
      <c r="D54" t="str">
        <f>INDEX(Define!V:V,MATCH(C54,Define!U:U))</f>
        <v>自身のHpが〇%以上</v>
      </c>
      <c r="E54">
        <v>2</v>
      </c>
      <c r="F54">
        <v>100</v>
      </c>
      <c r="G54">
        <v>0</v>
      </c>
      <c r="H54">
        <v>0</v>
      </c>
    </row>
    <row r="55" spans="1:8">
      <c r="A55">
        <v>15050</v>
      </c>
      <c r="B55" t="str">
        <f>INDEX(Skills!C:C,MATCH(A55,Skills!A:A))</f>
        <v>ネガティブドレイン</v>
      </c>
      <c r="C55">
        <v>1010</v>
      </c>
      <c r="D55" t="str">
        <f>INDEX(Define!V:V,MATCH(C55,Define!U:U))</f>
        <v>自身のHpが〇%以下</v>
      </c>
      <c r="E55">
        <v>2</v>
      </c>
      <c r="F55">
        <v>50</v>
      </c>
      <c r="G55">
        <v>0</v>
      </c>
      <c r="H55">
        <v>0</v>
      </c>
    </row>
    <row r="56" spans="1:8">
      <c r="A56">
        <v>15060</v>
      </c>
      <c r="B56" t="str">
        <f>INDEX(Skills!C:C,MATCH(A56,Skills!A:A))</f>
        <v>アンデッドペイン</v>
      </c>
      <c r="C56">
        <v>0</v>
      </c>
      <c r="D56" t="str">
        <f>INDEX(Define!V:V,MATCH(C56,Define!U:U))</f>
        <v>なし</v>
      </c>
      <c r="E56">
        <v>4</v>
      </c>
      <c r="F56">
        <v>0</v>
      </c>
      <c r="G56">
        <v>0</v>
      </c>
      <c r="H56">
        <v>0</v>
      </c>
    </row>
    <row r="57" spans="1:8">
      <c r="A57">
        <v>15070</v>
      </c>
      <c r="B57" t="str">
        <f>INDEX(Skills!C:C,MATCH(A57,Skills!A:A))</f>
        <v>ジャックポッド</v>
      </c>
      <c r="C57">
        <v>15011</v>
      </c>
      <c r="D57" t="str">
        <f>INDEX(Define!V:V,MATCH(C57,Define!U:U))</f>
        <v>味方が攻撃タイプの行動をしようとしている</v>
      </c>
      <c r="E57">
        <v>33</v>
      </c>
      <c r="F57">
        <v>0</v>
      </c>
      <c r="G57">
        <v>0</v>
      </c>
      <c r="H57">
        <v>0</v>
      </c>
    </row>
    <row r="58" spans="1:8">
      <c r="A58">
        <v>15080</v>
      </c>
      <c r="B58" t="str">
        <f>INDEX(Skills!C:C,MATCH(A58,Skills!A:A))</f>
        <v>ヒールハント</v>
      </c>
      <c r="C58">
        <v>12082</v>
      </c>
      <c r="D58" t="str">
        <f>INDEX(Define!V:V,MATCH(C58,Define!U:U))</f>
        <v>相手が回復をする</v>
      </c>
      <c r="E58">
        <v>2</v>
      </c>
      <c r="F58">
        <v>0</v>
      </c>
      <c r="G58">
        <v>0</v>
      </c>
      <c r="H58">
        <v>0</v>
      </c>
    </row>
    <row r="59" spans="1:8">
      <c r="A59">
        <v>15090</v>
      </c>
      <c r="B59" t="str">
        <f>INDEX(Skills!C:C,MATCH(A59,Skills!A:A))</f>
        <v>クイックカース</v>
      </c>
      <c r="C59">
        <v>12060</v>
      </c>
      <c r="D59" t="str">
        <f>INDEX(Define!V:V,MATCH(C59,Define!U:U))</f>
        <v>味方が攻撃を受ける。Param2で対象指定</v>
      </c>
      <c r="E59">
        <v>3</v>
      </c>
      <c r="F59">
        <v>0</v>
      </c>
      <c r="G59">
        <v>0</v>
      </c>
      <c r="H59">
        <v>0</v>
      </c>
    </row>
    <row r="60" spans="1:8">
      <c r="A60">
        <v>100110</v>
      </c>
      <c r="B60" t="str">
        <f>INDEX(Skills!C:C,MATCH(A60,Skills!A:A))</f>
        <v>ソーイングアームド</v>
      </c>
      <c r="C60">
        <v>7010</v>
      </c>
      <c r="D60" t="str">
        <f>INDEX(Define!V:V,MATCH(C60,Define!U:U))</f>
        <v>神化発動前</v>
      </c>
      <c r="E60">
        <v>2</v>
      </c>
      <c r="F60">
        <v>0</v>
      </c>
      <c r="G60">
        <v>0</v>
      </c>
      <c r="H60">
        <v>1</v>
      </c>
    </row>
    <row r="61" spans="1:8">
      <c r="A61">
        <v>100110</v>
      </c>
      <c r="B61" t="str">
        <f>INDEX(Skills!C:C,MATCH(A61,Skills!A:A))</f>
        <v>ソーイングアームド</v>
      </c>
      <c r="C61">
        <v>17010</v>
      </c>
      <c r="D61" t="str">
        <f>INDEX(Define!V:V,MATCH(C61,Define!U:U))</f>
        <v>魔法を〇回使用する</v>
      </c>
      <c r="E61">
        <v>2</v>
      </c>
      <c r="F61">
        <v>3</v>
      </c>
      <c r="G61">
        <v>0</v>
      </c>
      <c r="H61">
        <v>1060</v>
      </c>
    </row>
    <row r="62" spans="1:8">
      <c r="A62">
        <v>100210</v>
      </c>
      <c r="B62" t="str">
        <f>INDEX(Skills!C:C,MATCH(A62,Skills!A:A))</f>
        <v>アブソリュートパリィ</v>
      </c>
      <c r="C62">
        <v>7010</v>
      </c>
      <c r="D62" t="str">
        <f>INDEX(Define!V:V,MATCH(C62,Define!U:U))</f>
        <v>神化発動前</v>
      </c>
      <c r="E62">
        <v>2</v>
      </c>
      <c r="F62">
        <v>0</v>
      </c>
      <c r="G62">
        <v>0</v>
      </c>
      <c r="H62">
        <v>1</v>
      </c>
    </row>
    <row r="63" spans="1:8">
      <c r="A63">
        <v>100210</v>
      </c>
      <c r="B63" t="str">
        <f>INDEX(Skills!C:C,MATCH(A63,Skills!A:A))</f>
        <v>アブソリュートパリィ</v>
      </c>
      <c r="C63">
        <v>17040</v>
      </c>
      <c r="D63" t="str">
        <f>INDEX(Define!V:V,MATCH(C63,Define!U:U))</f>
        <v>回避を〇回行う</v>
      </c>
      <c r="E63">
        <v>2</v>
      </c>
      <c r="F63">
        <v>3</v>
      </c>
      <c r="G63">
        <v>0</v>
      </c>
      <c r="H63">
        <v>0</v>
      </c>
    </row>
    <row r="64" spans="1:8">
      <c r="A64">
        <v>100310</v>
      </c>
      <c r="B64" t="str">
        <f>INDEX(Skills!C:C,MATCH(A64,Skills!A:A))</f>
        <v>セイクリッドバリア</v>
      </c>
      <c r="C64">
        <v>7010</v>
      </c>
      <c r="D64" t="str">
        <f>INDEX(Define!V:V,MATCH(C64,Define!U:U))</f>
        <v>神化発動前</v>
      </c>
      <c r="E64">
        <v>11</v>
      </c>
      <c r="F64">
        <v>0</v>
      </c>
      <c r="G64">
        <v>0</v>
      </c>
      <c r="H64">
        <v>1</v>
      </c>
    </row>
    <row r="65" spans="1:8">
      <c r="A65">
        <v>100310</v>
      </c>
      <c r="B65" t="str">
        <f>INDEX(Skills!C:C,MATCH(A65,Skills!A:A))</f>
        <v>セイクリッドバリア</v>
      </c>
      <c r="C65">
        <v>17020</v>
      </c>
      <c r="D65" t="str">
        <f>INDEX(Define!V:V,MATCH(C65,Define!U:U))</f>
        <v>攻撃を〇回受ける</v>
      </c>
      <c r="E65">
        <v>11</v>
      </c>
      <c r="F65">
        <v>5</v>
      </c>
      <c r="G65">
        <v>0</v>
      </c>
      <c r="H65">
        <v>0</v>
      </c>
    </row>
    <row r="66" spans="1:8">
      <c r="A66">
        <v>100410</v>
      </c>
      <c r="B66" t="str">
        <f>INDEX(Skills!C:C,MATCH(A66,Skills!A:A))</f>
        <v>アバンデンス</v>
      </c>
      <c r="C66">
        <v>7010</v>
      </c>
      <c r="D66" t="str">
        <f>INDEX(Define!V:V,MATCH(C66,Define!U:U))</f>
        <v>神化発動前</v>
      </c>
      <c r="E66">
        <v>2</v>
      </c>
      <c r="F66">
        <v>0</v>
      </c>
      <c r="G66">
        <v>0</v>
      </c>
      <c r="H66">
        <v>1</v>
      </c>
    </row>
    <row r="67" spans="1:8">
      <c r="A67">
        <v>100410</v>
      </c>
      <c r="B67" t="str">
        <f>INDEX(Skills!C:C,MATCH(A67,Skills!A:A))</f>
        <v>アバンデンス</v>
      </c>
      <c r="C67">
        <v>20040</v>
      </c>
      <c r="D67" t="str">
        <f>INDEX(Define!V:V,MATCH(C67,Define!U:U))</f>
        <v>自分以外が戦闘不能</v>
      </c>
      <c r="E67">
        <v>2</v>
      </c>
      <c r="F67">
        <v>0</v>
      </c>
      <c r="G67">
        <v>0</v>
      </c>
      <c r="H67">
        <v>0</v>
      </c>
    </row>
    <row r="68" spans="1:8">
      <c r="A68">
        <v>100510</v>
      </c>
      <c r="B68" t="str">
        <f>INDEX(Skills!C:C,MATCH(A68,Skills!A:A))</f>
        <v>カースドブレイク</v>
      </c>
      <c r="C68">
        <v>7010</v>
      </c>
      <c r="D68" t="str">
        <f>INDEX(Define!V:V,MATCH(C68,Define!U:U))</f>
        <v>神化発動前</v>
      </c>
      <c r="E68">
        <v>3</v>
      </c>
      <c r="F68">
        <v>0</v>
      </c>
      <c r="G68">
        <v>0</v>
      </c>
      <c r="H68">
        <v>1</v>
      </c>
    </row>
    <row r="69" spans="1:8">
      <c r="A69">
        <v>100510</v>
      </c>
      <c r="B69" t="str">
        <f>INDEX(Skills!C:C,MATCH(A69,Skills!A:A))</f>
        <v>カースドブレイク</v>
      </c>
      <c r="C69">
        <v>20160</v>
      </c>
      <c r="D69" t="str">
        <f>INDEX(Define!V:V,MATCH(C69,Define!U:U))</f>
        <v>自身が戦闘不能になる攻撃を受ける</v>
      </c>
      <c r="E69">
        <v>3</v>
      </c>
      <c r="F69">
        <v>0</v>
      </c>
      <c r="G69">
        <v>0</v>
      </c>
      <c r="H69">
        <v>0</v>
      </c>
    </row>
    <row r="70" spans="1:8">
      <c r="A70">
        <v>100610</v>
      </c>
      <c r="B70" t="str">
        <f>INDEX(Skills!C:C,MATCH(A70,Skills!A:A))</f>
        <v>サンフレイム</v>
      </c>
      <c r="C70">
        <v>7010</v>
      </c>
      <c r="D70" t="str">
        <f>INDEX(Define!V:V,MATCH(C70,Define!U:U))</f>
        <v>神化発動前</v>
      </c>
      <c r="E70">
        <v>2</v>
      </c>
      <c r="F70">
        <v>0</v>
      </c>
      <c r="G70">
        <v>0</v>
      </c>
      <c r="H70">
        <v>1</v>
      </c>
    </row>
    <row r="71" spans="1:8">
      <c r="A71">
        <v>100610</v>
      </c>
      <c r="B71" t="str">
        <f>INDEX(Skills!C:C,MATCH(A71,Skills!A:A))</f>
        <v>サンフレイム</v>
      </c>
      <c r="C71">
        <v>7070</v>
      </c>
      <c r="D71" t="str">
        <f>INDEX(Define!V:V,MATCH(C71,Define!U:U))</f>
        <v>神化魔法使用回数の総計</v>
      </c>
      <c r="E71">
        <v>2</v>
      </c>
      <c r="F71">
        <v>0</v>
      </c>
      <c r="G71">
        <v>2</v>
      </c>
      <c r="H71">
        <v>0</v>
      </c>
    </row>
    <row r="72" spans="1:8">
      <c r="A72">
        <v>100710</v>
      </c>
      <c r="B72" t="str">
        <f>INDEX(Skills!C:C,MATCH(A72,Skills!A:A))</f>
        <v>ライズザフラッグ</v>
      </c>
      <c r="C72">
        <v>7010</v>
      </c>
      <c r="D72" t="str">
        <f>INDEX(Define!V:V,MATCH(C72,Define!U:U))</f>
        <v>神化発動前</v>
      </c>
      <c r="E72">
        <v>2</v>
      </c>
      <c r="F72">
        <v>0</v>
      </c>
      <c r="G72">
        <v>0</v>
      </c>
      <c r="H72">
        <v>1</v>
      </c>
    </row>
    <row r="73" ht="12" customHeight="1" spans="1:8">
      <c r="A73">
        <v>100710</v>
      </c>
      <c r="B73" t="str">
        <f>INDEX(Skills!C:C,MATCH(A73,Skills!A:A))</f>
        <v>ライズザフラッグ</v>
      </c>
      <c r="C73">
        <v>20140</v>
      </c>
      <c r="D73" t="str">
        <f>INDEX(Define!V:V,MATCH(C73,Define!U:U))</f>
        <v>自身の攻撃で敵を倒す</v>
      </c>
      <c r="E73">
        <v>2</v>
      </c>
      <c r="F73">
        <v>0</v>
      </c>
      <c r="G73">
        <v>0</v>
      </c>
      <c r="H73">
        <v>0</v>
      </c>
    </row>
    <row r="74" spans="1:8">
      <c r="A74">
        <v>100810</v>
      </c>
      <c r="B74" t="str">
        <f>INDEX(Skills!C:C,MATCH(A74,Skills!A:A))</f>
        <v>テンパランス</v>
      </c>
      <c r="C74">
        <v>7010</v>
      </c>
      <c r="D74" t="str">
        <f>INDEX(Define!V:V,MATCH(C74,Define!U:U))</f>
        <v>神化発動前</v>
      </c>
      <c r="E74">
        <v>2</v>
      </c>
      <c r="F74">
        <v>0</v>
      </c>
      <c r="G74">
        <v>0</v>
      </c>
      <c r="H74">
        <v>1</v>
      </c>
    </row>
    <row r="75" ht="12" customHeight="1" spans="1:8">
      <c r="A75">
        <v>100810</v>
      </c>
      <c r="B75" t="str">
        <f>INDEX(Skills!C:C,MATCH(A75,Skills!A:A))</f>
        <v>テンパランス</v>
      </c>
      <c r="C75">
        <v>9020</v>
      </c>
      <c r="D75" t="str">
        <f>INDEX(Define!V:V,MATCH(C75,Define!U:U))</f>
        <v>ターン数が〇</v>
      </c>
      <c r="E75">
        <v>2</v>
      </c>
      <c r="F75">
        <v>10</v>
      </c>
      <c r="G75">
        <v>0</v>
      </c>
      <c r="H75">
        <v>0</v>
      </c>
    </row>
    <row r="76" spans="1:8">
      <c r="A76">
        <v>100910</v>
      </c>
      <c r="B76" t="str">
        <f>INDEX(Skills!C:C,MATCH(A76,Skills!A:A))</f>
        <v>バーニングカウンター</v>
      </c>
      <c r="C76">
        <v>7010</v>
      </c>
      <c r="D76" t="str">
        <f>INDEX(Define!V:V,MATCH(C76,Define!U:U))</f>
        <v>神化発動前</v>
      </c>
      <c r="E76">
        <v>11</v>
      </c>
      <c r="F76">
        <v>0</v>
      </c>
      <c r="G76">
        <v>0</v>
      </c>
      <c r="H76">
        <v>1</v>
      </c>
    </row>
    <row r="77" ht="12" customHeight="1" spans="1:8">
      <c r="A77">
        <v>100910</v>
      </c>
      <c r="B77" t="str">
        <f>INDEX(Skills!C:C,MATCH(A77,Skills!A:A))</f>
        <v>バーニングカウンター</v>
      </c>
      <c r="C77">
        <v>12041</v>
      </c>
      <c r="D77" t="str">
        <f>INDEX(Define!V:V,MATCH(C77,Define!U:U))</f>
        <v>攻撃を受けた対象が戦闘不能になった</v>
      </c>
      <c r="E77">
        <v>11</v>
      </c>
      <c r="F77">
        <v>0</v>
      </c>
      <c r="G77">
        <v>0</v>
      </c>
      <c r="H77">
        <v>0</v>
      </c>
    </row>
    <row r="78" spans="1:8">
      <c r="A78">
        <v>101010</v>
      </c>
      <c r="B78" t="str">
        <f>INDEX(Skills!C:C,MATCH(A78,Skills!A:A))</f>
        <v>エウロス</v>
      </c>
      <c r="C78">
        <v>7010</v>
      </c>
      <c r="D78" t="str">
        <f>INDEX(Define!V:V,MATCH(C78,Define!U:U))</f>
        <v>神化発動前</v>
      </c>
      <c r="E78">
        <v>2</v>
      </c>
      <c r="F78">
        <v>0</v>
      </c>
      <c r="G78">
        <v>0</v>
      </c>
      <c r="H78">
        <v>1</v>
      </c>
    </row>
    <row r="79" ht="12" customHeight="1" spans="1:8">
      <c r="A79">
        <v>101010</v>
      </c>
      <c r="B79" t="str">
        <f>INDEX(Skills!C:C,MATCH(A79,Skills!A:A))</f>
        <v>エウロス</v>
      </c>
      <c r="C79">
        <v>12063</v>
      </c>
      <c r="D79" t="str">
        <f>INDEX(Define!V:V,MATCH(C79,Define!U:U))</f>
        <v>自身が状態異常を受ける</v>
      </c>
      <c r="E79">
        <v>2</v>
      </c>
      <c r="F79">
        <v>0</v>
      </c>
      <c r="G79">
        <v>0</v>
      </c>
      <c r="H79">
        <v>0</v>
      </c>
    </row>
    <row r="80" spans="1:8">
      <c r="A80">
        <v>101110</v>
      </c>
      <c r="B80" t="str">
        <f>INDEX(Skills!C:C,MATCH(A80,Skills!A:A))</f>
        <v>アバランシュ</v>
      </c>
      <c r="C80">
        <v>7010</v>
      </c>
      <c r="D80" t="str">
        <f>INDEX(Define!V:V,MATCH(C80,Define!U:U))</f>
        <v>神化発動前</v>
      </c>
      <c r="E80">
        <v>2</v>
      </c>
      <c r="F80">
        <v>0</v>
      </c>
      <c r="G80">
        <v>0</v>
      </c>
      <c r="H80">
        <v>1</v>
      </c>
    </row>
    <row r="81" ht="12" customHeight="1" spans="1:8">
      <c r="A81">
        <v>101110</v>
      </c>
      <c r="B81" t="str">
        <f>INDEX(Skills!C:C,MATCH(A81,Skills!A:A))</f>
        <v>アバランシュ</v>
      </c>
      <c r="C81">
        <v>20071</v>
      </c>
      <c r="D81" t="str">
        <f>INDEX(Define!V:V,MATCH(C81,Define!U:U))</f>
        <v>敵全員が凍結状態</v>
      </c>
      <c r="E81">
        <v>2</v>
      </c>
      <c r="F81">
        <v>0</v>
      </c>
      <c r="G81">
        <v>0</v>
      </c>
      <c r="H81">
        <v>0</v>
      </c>
    </row>
    <row r="82" spans="1:8">
      <c r="A82">
        <v>200210</v>
      </c>
      <c r="B82" t="str">
        <f>INDEX(Skills!C:C,MATCH(A82,Skills!A:A))</f>
        <v>マイトレインフォース</v>
      </c>
      <c r="C82">
        <v>7010</v>
      </c>
      <c r="D82" t="str">
        <f>INDEX(Define!V:V,MATCH(C82,Define!U:U))</f>
        <v>神化発動前</v>
      </c>
      <c r="E82">
        <v>2</v>
      </c>
      <c r="F82">
        <v>0</v>
      </c>
      <c r="G82">
        <v>0</v>
      </c>
      <c r="H82">
        <v>1</v>
      </c>
    </row>
    <row r="83" spans="1:8">
      <c r="A83">
        <v>200210</v>
      </c>
      <c r="B83" t="str">
        <f>INDEX(Skills!C:C,MATCH(A83,Skills!A:A))</f>
        <v>マイトレインフォース</v>
      </c>
      <c r="C83">
        <v>20040</v>
      </c>
      <c r="D83" t="str">
        <f>INDEX(Define!V:V,MATCH(C83,Define!U:U))</f>
        <v>自分以外が戦闘不能</v>
      </c>
      <c r="E83">
        <v>2</v>
      </c>
      <c r="F83">
        <v>1</v>
      </c>
      <c r="G83">
        <v>0</v>
      </c>
      <c r="H83">
        <v>0</v>
      </c>
    </row>
    <row r="84" spans="1:8">
      <c r="A84">
        <v>200230</v>
      </c>
      <c r="B84" t="str">
        <f>INDEX(Skills!C:C,MATCH(A84,Skills!A:A))</f>
        <v>悪魔(ベリト)</v>
      </c>
      <c r="C84">
        <v>1010</v>
      </c>
      <c r="D84" t="str">
        <f>INDEX(Define!V:V,MATCH(C84,Define!U:U))</f>
        <v>自身のHpが〇%以下</v>
      </c>
      <c r="E84">
        <v>2</v>
      </c>
      <c r="F84">
        <v>25</v>
      </c>
      <c r="G84">
        <v>0</v>
      </c>
      <c r="H84">
        <v>0</v>
      </c>
    </row>
    <row r="85" spans="1:8">
      <c r="A85">
        <v>200310</v>
      </c>
      <c r="B85" t="str">
        <f>INDEX(Skills!C:C,MATCH(A85,Skills!A:A))</f>
        <v>プルガシオン</v>
      </c>
      <c r="C85">
        <v>7010</v>
      </c>
      <c r="D85" t="str">
        <f>INDEX(Define!V:V,MATCH(C85,Define!U:U))</f>
        <v>神化発動前</v>
      </c>
      <c r="E85">
        <v>2</v>
      </c>
      <c r="F85">
        <v>0</v>
      </c>
      <c r="G85">
        <v>0</v>
      </c>
      <c r="H85">
        <v>1</v>
      </c>
    </row>
    <row r="86" spans="1:8">
      <c r="A86">
        <v>200310</v>
      </c>
      <c r="B86" t="str">
        <f>INDEX(Skills!C:C,MATCH(A86,Skills!A:A))</f>
        <v>プルガシオン</v>
      </c>
      <c r="C86">
        <v>1010</v>
      </c>
      <c r="D86" t="str">
        <f>INDEX(Define!V:V,MATCH(C86,Define!U:U))</f>
        <v>自身のHpが〇%以下</v>
      </c>
      <c r="E86">
        <v>2</v>
      </c>
      <c r="F86">
        <v>50</v>
      </c>
      <c r="G86">
        <v>0</v>
      </c>
      <c r="H86">
        <v>0</v>
      </c>
    </row>
    <row r="87" spans="1:8">
      <c r="A87">
        <v>200330</v>
      </c>
      <c r="B87" t="str">
        <f>INDEX(Skills!C:C,MATCH(A87,Skills!A:A))</f>
        <v>悪魔(パイモン)</v>
      </c>
      <c r="C87">
        <v>0</v>
      </c>
      <c r="D87" t="str">
        <f>INDEX(Define!V:V,MATCH(C87,Define!U:U))</f>
        <v>なし</v>
      </c>
      <c r="E87">
        <v>4</v>
      </c>
      <c r="F87">
        <v>0</v>
      </c>
      <c r="G87">
        <v>0</v>
      </c>
      <c r="H87">
        <v>0</v>
      </c>
    </row>
    <row r="88" spans="1:8">
      <c r="A88">
        <v>200410</v>
      </c>
      <c r="B88" t="str">
        <f>INDEX(Skills!C:C,MATCH(A88,Skills!A:A))</f>
        <v>コウソクテンショウ</v>
      </c>
      <c r="C88">
        <v>7010</v>
      </c>
      <c r="D88" t="str">
        <f>INDEX(Define!V:V,MATCH(C88,Define!U:U))</f>
        <v>神化発動前</v>
      </c>
      <c r="E88">
        <v>2</v>
      </c>
      <c r="F88">
        <v>0</v>
      </c>
      <c r="G88">
        <v>0</v>
      </c>
      <c r="H88">
        <v>1</v>
      </c>
    </row>
    <row r="89" spans="1:8">
      <c r="A89">
        <v>200410</v>
      </c>
      <c r="B89" t="str">
        <f>INDEX(Skills!C:C,MATCH(A89,Skills!A:A))</f>
        <v>コウソクテンショウ</v>
      </c>
      <c r="C89">
        <v>1010</v>
      </c>
      <c r="D89" t="str">
        <f>INDEX(Define!V:V,MATCH(C89,Define!U:U))</f>
        <v>自身のHpが〇%以下</v>
      </c>
      <c r="E89">
        <v>2</v>
      </c>
      <c r="F89">
        <v>40</v>
      </c>
      <c r="G89">
        <v>0</v>
      </c>
      <c r="H89">
        <v>0</v>
      </c>
    </row>
    <row r="90" spans="1:8">
      <c r="A90">
        <v>200430</v>
      </c>
      <c r="B90" t="str">
        <f>INDEX(Skills!C:C,MATCH(A90,Skills!A:A))</f>
        <v>悪魔(アンドラス)</v>
      </c>
      <c r="C90">
        <v>0</v>
      </c>
      <c r="D90" t="str">
        <f>INDEX(Define!V:V,MATCH(C90,Define!U:U))</f>
        <v>なし</v>
      </c>
      <c r="E90">
        <v>4</v>
      </c>
      <c r="F90">
        <v>0</v>
      </c>
      <c r="G90">
        <v>0</v>
      </c>
      <c r="H90">
        <v>0</v>
      </c>
    </row>
    <row r="91" spans="1:8">
      <c r="A91">
        <v>200510</v>
      </c>
      <c r="B91" t="str">
        <f>INDEX(Skills!C:C,MATCH(A91,Skills!A:A))</f>
        <v>カウントダウン</v>
      </c>
      <c r="C91">
        <v>7010</v>
      </c>
      <c r="D91" t="str">
        <f>INDEX(Define!V:V,MATCH(C91,Define!U:U))</f>
        <v>神化発動前</v>
      </c>
      <c r="E91">
        <v>2</v>
      </c>
      <c r="F91">
        <v>0</v>
      </c>
      <c r="G91">
        <v>0</v>
      </c>
      <c r="H91">
        <v>1</v>
      </c>
    </row>
    <row r="92" spans="1:8">
      <c r="A92">
        <v>200510</v>
      </c>
      <c r="B92" t="str">
        <f>INDEX(Skills!C:C,MATCH(A92,Skills!A:A))</f>
        <v>カウントダウン</v>
      </c>
      <c r="C92">
        <v>9040</v>
      </c>
      <c r="D92" t="str">
        <f>INDEX(Define!V:V,MATCH(C92,Define!U:U))</f>
        <v>全体の行動数がparam1 x 行動数 + param2</v>
      </c>
      <c r="E92">
        <v>2</v>
      </c>
      <c r="F92">
        <v>0</v>
      </c>
      <c r="G92">
        <v>100</v>
      </c>
      <c r="H92">
        <v>0</v>
      </c>
    </row>
    <row r="93" spans="1:8">
      <c r="A93">
        <v>200530</v>
      </c>
      <c r="B93" t="str">
        <f>INDEX(Skills!C:C,MATCH(A93,Skills!A:A))</f>
        <v>悪魔(ビフロンス)</v>
      </c>
      <c r="C93">
        <v>1010</v>
      </c>
      <c r="D93" t="str">
        <f>INDEX(Define!V:V,MATCH(C93,Define!U:U))</f>
        <v>自身のHpが〇%以下</v>
      </c>
      <c r="E93">
        <v>2</v>
      </c>
      <c r="F93">
        <v>50</v>
      </c>
      <c r="G93">
        <v>0</v>
      </c>
      <c r="H93">
        <v>0</v>
      </c>
    </row>
    <row r="94" spans="1:8">
      <c r="A94">
        <v>201010</v>
      </c>
      <c r="B94" t="str">
        <f>INDEX(Skills!C:C,MATCH(A94,Skills!A:A))</f>
        <v>カオスペイン</v>
      </c>
      <c r="C94">
        <v>7010</v>
      </c>
      <c r="D94" t="str">
        <f>INDEX(Define!V:V,MATCH(C94,Define!U:U))</f>
        <v>神化発動前</v>
      </c>
      <c r="E94">
        <v>2</v>
      </c>
      <c r="F94">
        <v>0</v>
      </c>
      <c r="G94">
        <v>0</v>
      </c>
      <c r="H94">
        <v>1</v>
      </c>
    </row>
    <row r="95" spans="1:8">
      <c r="A95">
        <v>201010</v>
      </c>
      <c r="B95" t="str">
        <f>INDEX(Skills!C:C,MATCH(A95,Skills!A:A))</f>
        <v>カオスペイン</v>
      </c>
      <c r="C95">
        <v>1010</v>
      </c>
      <c r="D95" t="str">
        <f>INDEX(Define!V:V,MATCH(C95,Define!U:U))</f>
        <v>自身のHpが〇%以下</v>
      </c>
      <c r="E95">
        <v>2</v>
      </c>
      <c r="F95">
        <v>25</v>
      </c>
      <c r="G95">
        <v>0</v>
      </c>
      <c r="H95">
        <v>0</v>
      </c>
    </row>
    <row r="96" spans="1:8">
      <c r="A96">
        <v>201030</v>
      </c>
      <c r="B96" t="str">
        <f>INDEX(Skills!C:C,MATCH(A96,Skills!A:A))</f>
        <v>アンリマユ</v>
      </c>
      <c r="C96">
        <v>0</v>
      </c>
      <c r="D96" t="str">
        <f>INDEX(Define!V:V,MATCH(C96,Define!U:U))</f>
        <v>なし</v>
      </c>
      <c r="E96">
        <v>4</v>
      </c>
      <c r="F96">
        <v>0</v>
      </c>
      <c r="G96">
        <v>0</v>
      </c>
      <c r="H96">
        <v>0</v>
      </c>
    </row>
    <row r="97" spans="1:8">
      <c r="A97">
        <v>300010</v>
      </c>
      <c r="B97" t="str">
        <f>INDEX(Skills!C:C,MATCH(A97,Skills!A:A))</f>
        <v>ライフブースト</v>
      </c>
      <c r="C97">
        <v>0</v>
      </c>
      <c r="D97" t="str">
        <f>INDEX(Define!V:V,MATCH(C97,Define!U:U))</f>
        <v>なし</v>
      </c>
      <c r="E97">
        <v>4</v>
      </c>
      <c r="F97">
        <v>0</v>
      </c>
      <c r="G97">
        <v>0</v>
      </c>
      <c r="H97">
        <v>0</v>
      </c>
    </row>
    <row r="98" spans="1:8">
      <c r="A98">
        <v>300020</v>
      </c>
      <c r="B98" t="str">
        <f>INDEX(Skills!C:C,MATCH(A98,Skills!A:A))</f>
        <v>スピリットチャージ</v>
      </c>
      <c r="C98">
        <v>0</v>
      </c>
      <c r="D98" t="str">
        <f>INDEX(Define!V:V,MATCH(C98,Define!U:U))</f>
        <v>なし</v>
      </c>
      <c r="E98">
        <v>4</v>
      </c>
      <c r="F98">
        <v>0</v>
      </c>
      <c r="G98">
        <v>0</v>
      </c>
      <c r="H98">
        <v>0</v>
      </c>
    </row>
    <row r="99" spans="1:8">
      <c r="A99">
        <v>300030</v>
      </c>
      <c r="B99" t="str">
        <f>INDEX(Skills!C:C,MATCH(A99,Skills!A:A))</f>
        <v>フォースライズ</v>
      </c>
      <c r="C99">
        <v>0</v>
      </c>
      <c r="D99" t="str">
        <f>INDEX(Define!V:V,MATCH(C99,Define!U:U))</f>
        <v>なし</v>
      </c>
      <c r="E99">
        <v>4</v>
      </c>
      <c r="F99">
        <v>0</v>
      </c>
      <c r="G99">
        <v>0</v>
      </c>
      <c r="H99">
        <v>0</v>
      </c>
    </row>
    <row r="100" spans="1:8">
      <c r="A100">
        <v>300040</v>
      </c>
      <c r="B100" t="str">
        <f>INDEX(Skills!C:C,MATCH(A100,Skills!A:A))</f>
        <v>ディフェンスオーラ</v>
      </c>
      <c r="C100">
        <v>0</v>
      </c>
      <c r="D100" t="str">
        <f>INDEX(Define!V:V,MATCH(C100,Define!U:U))</f>
        <v>なし</v>
      </c>
      <c r="E100">
        <v>4</v>
      </c>
      <c r="F100">
        <v>0</v>
      </c>
      <c r="G100">
        <v>0</v>
      </c>
      <c r="H100">
        <v>0</v>
      </c>
    </row>
    <row r="101" spans="1:8">
      <c r="A101">
        <v>300050</v>
      </c>
      <c r="B101" t="str">
        <f>INDEX(Skills!C:C,MATCH(A101,Skills!A:A))</f>
        <v>ラピッドムーブ</v>
      </c>
      <c r="C101">
        <v>0</v>
      </c>
      <c r="D101" t="str">
        <f>INDEX(Define!V:V,MATCH(C101,Define!U:U))</f>
        <v>なし</v>
      </c>
      <c r="E101">
        <v>4</v>
      </c>
      <c r="F101">
        <v>0</v>
      </c>
      <c r="G101">
        <v>0</v>
      </c>
      <c r="H101">
        <v>0</v>
      </c>
    </row>
    <row r="102" spans="1:8">
      <c r="A102">
        <v>300130</v>
      </c>
      <c r="B102" t="str">
        <f>INDEX(Skills!C:C,MATCH(A102,Skills!A:A))</f>
        <v>アタックブレイク</v>
      </c>
      <c r="C102">
        <v>0</v>
      </c>
      <c r="D102" t="str">
        <f>INDEX(Define!V:V,MATCH(C102,Define!U:U))</f>
        <v>なし</v>
      </c>
      <c r="E102">
        <v>4</v>
      </c>
      <c r="F102">
        <v>0</v>
      </c>
      <c r="G102">
        <v>0</v>
      </c>
      <c r="H102">
        <v>0</v>
      </c>
    </row>
    <row r="103" spans="1:8">
      <c r="A103">
        <v>300140</v>
      </c>
      <c r="B103" t="str">
        <f>INDEX(Skills!C:C,MATCH(A103,Skills!A:A))</f>
        <v>シールドバニッシュ</v>
      </c>
      <c r="C103">
        <v>0</v>
      </c>
      <c r="D103" t="str">
        <f>INDEX(Define!V:V,MATCH(C103,Define!U:U))</f>
        <v>なし</v>
      </c>
      <c r="E103">
        <v>4</v>
      </c>
      <c r="F103">
        <v>0</v>
      </c>
      <c r="G103">
        <v>0</v>
      </c>
      <c r="H103">
        <v>0</v>
      </c>
    </row>
    <row r="104" spans="1:8">
      <c r="A104">
        <v>300210</v>
      </c>
      <c r="B104" t="str">
        <f>INDEX(Skills!C:C,MATCH(A104,Skills!A:A))</f>
        <v>エーテルリチャージ</v>
      </c>
      <c r="C104">
        <v>0</v>
      </c>
      <c r="D104" t="str">
        <f>INDEX(Define!V:V,MATCH(C104,Define!U:U))</f>
        <v>なし</v>
      </c>
      <c r="E104">
        <v>2</v>
      </c>
      <c r="F104">
        <v>0</v>
      </c>
      <c r="G104">
        <v>0</v>
      </c>
      <c r="H104">
        <v>0</v>
      </c>
    </row>
    <row r="105" spans="1:8">
      <c r="A105">
        <v>300220</v>
      </c>
      <c r="B105" t="str">
        <f>INDEX(Skills!C:C,MATCH(A105,Skills!A:A))</f>
        <v>リカバリーエンハンス</v>
      </c>
      <c r="C105">
        <v>0</v>
      </c>
      <c r="D105" t="str">
        <f>INDEX(Define!V:V,MATCH(C105,Define!U:U))</f>
        <v>なし</v>
      </c>
      <c r="E105">
        <v>4</v>
      </c>
      <c r="F105">
        <v>0</v>
      </c>
      <c r="G105">
        <v>0</v>
      </c>
      <c r="H105">
        <v>0</v>
      </c>
    </row>
    <row r="106" spans="1:8">
      <c r="A106">
        <v>300230</v>
      </c>
      <c r="B106" t="str">
        <f>INDEX(Skills!C:C,MATCH(A106,Skills!A:A))</f>
        <v>ヴェンジェンス</v>
      </c>
      <c r="C106">
        <v>0</v>
      </c>
      <c r="D106" t="str">
        <f>INDEX(Define!V:V,MATCH(C106,Define!U:U))</f>
        <v>なし</v>
      </c>
      <c r="E106">
        <v>4</v>
      </c>
      <c r="F106">
        <v>0</v>
      </c>
      <c r="G106">
        <v>0</v>
      </c>
      <c r="H106">
        <v>0</v>
      </c>
    </row>
    <row r="107" spans="1:8">
      <c r="A107">
        <v>301010</v>
      </c>
      <c r="B107" t="str">
        <f>INDEX(Skills!C:C,MATCH(A107,Skills!A:A))</f>
        <v>ディケイドリセット</v>
      </c>
      <c r="C107">
        <v>0</v>
      </c>
      <c r="D107" t="str">
        <f>INDEX(Define!V:V,MATCH(C107,Define!U:U))</f>
        <v>なし</v>
      </c>
      <c r="E107">
        <v>2</v>
      </c>
      <c r="F107">
        <v>0</v>
      </c>
      <c r="G107">
        <v>0</v>
      </c>
      <c r="H107">
        <v>0</v>
      </c>
    </row>
    <row r="108" spans="1:8">
      <c r="A108">
        <v>301020</v>
      </c>
      <c r="B108" t="str">
        <f>INDEX(Skills!C:C,MATCH(A108,Skills!A:A))</f>
        <v>ウォーリアーブラッド</v>
      </c>
      <c r="C108">
        <v>0</v>
      </c>
      <c r="D108" t="str">
        <f>INDEX(Define!V:V,MATCH(C108,Define!U:U))</f>
        <v>なし</v>
      </c>
      <c r="E108">
        <v>2</v>
      </c>
      <c r="F108">
        <v>0</v>
      </c>
      <c r="G108">
        <v>0</v>
      </c>
      <c r="H108">
        <v>0</v>
      </c>
    </row>
    <row r="109" spans="1:8">
      <c r="A109">
        <v>301030</v>
      </c>
      <c r="B109" t="str">
        <f>INDEX(Skills!C:C,MATCH(A109,Skills!A:A))</f>
        <v>トライアングルガード</v>
      </c>
      <c r="C109">
        <v>0</v>
      </c>
      <c r="D109" t="str">
        <f>INDEX(Define!V:V,MATCH(C109,Define!U:U))</f>
        <v>なし</v>
      </c>
      <c r="E109">
        <v>2</v>
      </c>
      <c r="F109">
        <v>0</v>
      </c>
      <c r="G109">
        <v>0</v>
      </c>
      <c r="H109">
        <v>0</v>
      </c>
    </row>
    <row r="110" spans="1:8">
      <c r="A110">
        <v>301040</v>
      </c>
      <c r="B110" t="str">
        <f>INDEX(Skills!C:C,MATCH(A110,Skills!A:A))</f>
        <v>セーフティバリア</v>
      </c>
      <c r="C110">
        <v>0</v>
      </c>
      <c r="D110" t="str">
        <f>INDEX(Define!V:V,MATCH(C110,Define!U:U))</f>
        <v>なし</v>
      </c>
      <c r="E110">
        <v>2</v>
      </c>
      <c r="F110">
        <v>0</v>
      </c>
      <c r="G110">
        <v>0</v>
      </c>
      <c r="H110">
        <v>0</v>
      </c>
    </row>
    <row r="111" spans="1:8">
      <c r="A111">
        <v>301040</v>
      </c>
      <c r="B111" t="str">
        <f>INDEX(Skills!C:C,MATCH(A111,Skills!A:A))</f>
        <v>セーフティバリア</v>
      </c>
      <c r="C111">
        <v>11010</v>
      </c>
      <c r="D111" t="str">
        <f>INDEX(Define!V:V,MATCH(C111,Define!U:U))</f>
        <v>バトル中使用回数が〇以下</v>
      </c>
      <c r="E111">
        <v>2</v>
      </c>
      <c r="F111">
        <v>1</v>
      </c>
      <c r="G111">
        <v>0</v>
      </c>
      <c r="H111">
        <v>0</v>
      </c>
    </row>
    <row r="112" spans="1:8">
      <c r="A112">
        <v>301050</v>
      </c>
      <c r="B112" t="str">
        <f>INDEX(Skills!C:C,MATCH(A112,Skills!A:A))</f>
        <v>ヒロインズハイ</v>
      </c>
      <c r="C112">
        <v>13020</v>
      </c>
      <c r="D112" t="str">
        <f>INDEX(Define!V:V,MATCH(C112,Define!U:U))</f>
        <v>〇のKindを持っている敵</v>
      </c>
      <c r="E112">
        <v>4</v>
      </c>
      <c r="F112">
        <v>12</v>
      </c>
      <c r="G112">
        <v>0</v>
      </c>
      <c r="H112">
        <v>0</v>
      </c>
    </row>
    <row r="113" spans="1:8">
      <c r="A113">
        <v>301060</v>
      </c>
      <c r="B113" t="str">
        <f>INDEX(Skills!C:C,MATCH(A113,Skills!A:A))</f>
        <v>セカンドステージ</v>
      </c>
      <c r="C113">
        <v>0</v>
      </c>
      <c r="D113" t="str">
        <f>INDEX(Define!V:V,MATCH(C113,Define!U:U))</f>
        <v>なし</v>
      </c>
      <c r="E113">
        <v>11</v>
      </c>
      <c r="F113">
        <v>0</v>
      </c>
      <c r="G113">
        <v>0</v>
      </c>
      <c r="H113">
        <v>1</v>
      </c>
    </row>
    <row r="114" spans="1:8">
      <c r="A114">
        <v>301060</v>
      </c>
      <c r="B114" t="str">
        <f>INDEX(Skills!C:C,MATCH(A114,Skills!A:A))</f>
        <v>セカンドステージ</v>
      </c>
      <c r="C114">
        <v>11010</v>
      </c>
      <c r="D114" t="str">
        <f>INDEX(Define!V:V,MATCH(C114,Define!U:U))</f>
        <v>バトル中使用回数が〇以下</v>
      </c>
      <c r="E114">
        <v>11</v>
      </c>
      <c r="F114">
        <v>1</v>
      </c>
      <c r="G114">
        <v>0</v>
      </c>
      <c r="H114">
        <v>0</v>
      </c>
    </row>
    <row r="115" spans="1:8">
      <c r="A115">
        <v>301070</v>
      </c>
      <c r="B115" t="str">
        <f>INDEX(Skills!C:C,MATCH(A115,Skills!A:A))</f>
        <v>ハイヒットポイント</v>
      </c>
      <c r="C115">
        <v>0</v>
      </c>
      <c r="D115" t="str">
        <f>INDEX(Define!V:V,MATCH(C115,Define!U:U))</f>
        <v>なし</v>
      </c>
      <c r="E115">
        <v>4</v>
      </c>
      <c r="F115">
        <v>0</v>
      </c>
      <c r="G115">
        <v>0</v>
      </c>
      <c r="H115">
        <v>0</v>
      </c>
    </row>
    <row r="116" spans="1:8">
      <c r="A116">
        <v>301080</v>
      </c>
      <c r="B116" t="str">
        <f>INDEX(Skills!C:C,MATCH(A116,Skills!A:A))</f>
        <v>セプタブラスト</v>
      </c>
      <c r="C116">
        <v>12070</v>
      </c>
      <c r="D116" t="str">
        <f>INDEX(Define!V:V,MATCH(C116,Define!U:U))</f>
        <v>味方が行動をする</v>
      </c>
      <c r="E116">
        <v>2</v>
      </c>
      <c r="F116">
        <v>0</v>
      </c>
      <c r="G116">
        <v>0</v>
      </c>
      <c r="H116">
        <v>1</v>
      </c>
    </row>
    <row r="117" spans="1:8">
      <c r="A117">
        <v>301080</v>
      </c>
      <c r="B117" t="str">
        <f>INDEX(Skills!C:C,MATCH(A117,Skills!A:A))</f>
        <v>セプタブラスト</v>
      </c>
      <c r="C117">
        <v>9031</v>
      </c>
      <c r="D117" t="str">
        <f>INDEX(Define!V:V,MATCH(C117,Define!U:U))</f>
        <v>行動者のターン数がparam1 x ターン数 + param2</v>
      </c>
      <c r="E117">
        <v>2</v>
      </c>
      <c r="F117">
        <v>0</v>
      </c>
      <c r="G117">
        <v>7</v>
      </c>
      <c r="H117">
        <v>0</v>
      </c>
    </row>
    <row r="118" spans="1:8">
      <c r="A118">
        <v>301090</v>
      </c>
      <c r="B118" t="str">
        <f>INDEX(Skills!C:C,MATCH(A118,Skills!A:A))</f>
        <v>イニシャルブロッカー</v>
      </c>
      <c r="C118">
        <v>0</v>
      </c>
      <c r="D118" t="str">
        <f>INDEX(Define!V:V,MATCH(C118,Define!U:U))</f>
        <v>なし</v>
      </c>
      <c r="E118">
        <v>4</v>
      </c>
      <c r="F118">
        <v>0</v>
      </c>
      <c r="G118">
        <v>0</v>
      </c>
      <c r="H118">
        <v>0</v>
      </c>
    </row>
    <row r="119" spans="1:8">
      <c r="A119">
        <v>301100</v>
      </c>
      <c r="B119" t="str">
        <f>INDEX(Skills!C:C,MATCH(A119,Skills!A:A))</f>
        <v>ファーストテイク</v>
      </c>
      <c r="C119">
        <v>0</v>
      </c>
      <c r="D119" t="str">
        <f>INDEX(Define!V:V,MATCH(C119,Define!U:U))</f>
        <v>なし</v>
      </c>
      <c r="E119">
        <v>4</v>
      </c>
      <c r="F119">
        <v>0</v>
      </c>
      <c r="G119">
        <v>0</v>
      </c>
      <c r="H119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C3" sqref="C3"/>
    </sheetView>
  </sheetViews>
  <sheetFormatPr defaultColWidth="8.72727272727273" defaultRowHeight="13" outlineLevelCol="7"/>
  <cols>
    <col min="2" max="2" width="18.5454545454545" customWidth="1"/>
    <col min="4" max="4" width="32.4545454545455" customWidth="1"/>
  </cols>
  <sheetData>
    <row r="1" spans="1:8">
      <c r="A1" t="s">
        <v>18</v>
      </c>
      <c r="B1" t="s">
        <v>4</v>
      </c>
      <c r="C1" t="s">
        <v>24</v>
      </c>
      <c r="D1" t="s">
        <v>4</v>
      </c>
      <c r="E1" t="s">
        <v>25</v>
      </c>
      <c r="F1" t="s">
        <v>20</v>
      </c>
      <c r="G1" t="s">
        <v>21</v>
      </c>
      <c r="H1" t="s">
        <v>22</v>
      </c>
    </row>
    <row r="2" spans="1:8">
      <c r="A2">
        <v>13050</v>
      </c>
      <c r="B2" t="str">
        <f>INDEX(Skills!C:C,MATCH(A2,Skills!A:A))</f>
        <v>パッシブジャミング</v>
      </c>
      <c r="C2">
        <v>18020</v>
      </c>
      <c r="D2" t="str">
        <f>INDEX(Define!V:V,MATCH(C2,Define!U:U))</f>
        <v>自分の敵である</v>
      </c>
      <c r="E2">
        <v>0</v>
      </c>
      <c r="F2">
        <v>0</v>
      </c>
      <c r="G2">
        <v>0</v>
      </c>
      <c r="H2">
        <v>0</v>
      </c>
    </row>
    <row r="3" spans="1:8">
      <c r="A3">
        <v>14060</v>
      </c>
      <c r="B3" t="str">
        <f>INDEX(Skills!C:C,MATCH(A3,Skills!A:A))</f>
        <v>パッシブサプライ</v>
      </c>
      <c r="C3">
        <v>18010</v>
      </c>
      <c r="D3" t="str">
        <f>INDEX(Define!V:V,MATCH(C3,Define!U:U))</f>
        <v>自分の味方である</v>
      </c>
      <c r="E3">
        <v>0</v>
      </c>
      <c r="F3">
        <v>0</v>
      </c>
      <c r="G3">
        <v>0</v>
      </c>
      <c r="H3">
        <v>0</v>
      </c>
    </row>
    <row r="4" spans="1:8">
      <c r="A4">
        <v>100610</v>
      </c>
      <c r="B4" t="str">
        <f>INDEX(Skills!C:C,MATCH(A4,Skills!A:A))</f>
        <v>サンフレイム</v>
      </c>
      <c r="C4">
        <v>7020</v>
      </c>
      <c r="D4" t="str">
        <f>INDEX(Define!V:V,MATCH(C4,Define!U:U))</f>
        <v>神化発動後</v>
      </c>
      <c r="E4">
        <v>0</v>
      </c>
      <c r="F4">
        <v>0</v>
      </c>
      <c r="G4">
        <v>0</v>
      </c>
      <c r="H4">
        <v>0</v>
      </c>
    </row>
    <row r="5" spans="1:8">
      <c r="A5">
        <v>300210</v>
      </c>
      <c r="B5" t="str">
        <f>INDEX(Skills!C:C,MATCH(A5,Skills!A:A))</f>
        <v>エーテルリチャージ</v>
      </c>
      <c r="C5">
        <v>9030</v>
      </c>
      <c r="D5" t="str">
        <f>INDEX(Define!V:V,MATCH(C5,Define!U:U))</f>
        <v>ターン数がparam1 x ターン数 + param2</v>
      </c>
      <c r="E5">
        <v>2</v>
      </c>
      <c r="F5">
        <v>3</v>
      </c>
      <c r="G5">
        <v>0</v>
      </c>
      <c r="H5">
        <v>1</v>
      </c>
    </row>
    <row r="6" spans="1:8">
      <c r="A6">
        <v>300210</v>
      </c>
      <c r="B6" t="str">
        <f>INDEX(Skills!C:C,MATCH(A6,Skills!A:A))</f>
        <v>エーテルリチャージ</v>
      </c>
      <c r="C6">
        <v>16010</v>
      </c>
      <c r="D6" t="str">
        <f>INDEX(Define!V:V,MATCH(C6,Define!U:U))</f>
        <v>攻撃したのが自身</v>
      </c>
      <c r="E6">
        <v>2</v>
      </c>
      <c r="F6">
        <v>0</v>
      </c>
      <c r="G6">
        <v>0</v>
      </c>
      <c r="H6">
        <v>0</v>
      </c>
    </row>
    <row r="7" spans="1:8">
      <c r="A7">
        <v>301010</v>
      </c>
      <c r="B7" t="str">
        <f>INDEX(Skills!C:C,MATCH(A7,Skills!A:A))</f>
        <v>ディケイドリセット</v>
      </c>
      <c r="C7">
        <v>9030</v>
      </c>
      <c r="D7" t="str">
        <f>INDEX(Define!V:V,MATCH(C7,Define!U:U))</f>
        <v>ターン数がparam1 x ターン数 + param2</v>
      </c>
      <c r="E7">
        <v>2</v>
      </c>
      <c r="F7">
        <v>0</v>
      </c>
      <c r="G7">
        <v>10</v>
      </c>
      <c r="H7">
        <v>1</v>
      </c>
    </row>
    <row r="8" spans="1:8">
      <c r="A8">
        <v>301010</v>
      </c>
      <c r="B8" t="str">
        <f>INDEX(Skills!C:C,MATCH(A8,Skills!A:A))</f>
        <v>ディケイドリセット</v>
      </c>
      <c r="C8">
        <v>16010</v>
      </c>
      <c r="D8" t="str">
        <f>INDEX(Define!V:V,MATCH(C8,Define!U:U))</f>
        <v>攻撃したのが自身</v>
      </c>
      <c r="E8">
        <v>2</v>
      </c>
      <c r="F8">
        <v>0</v>
      </c>
      <c r="G8">
        <v>0</v>
      </c>
      <c r="H8">
        <v>0</v>
      </c>
    </row>
    <row r="9" spans="1:8">
      <c r="A9">
        <v>301020</v>
      </c>
      <c r="B9" t="str">
        <f>INDEX(Skills!C:C,MATCH(A9,Skills!A:A))</f>
        <v>ウォーリアーブラッド</v>
      </c>
      <c r="C9">
        <v>20140</v>
      </c>
      <c r="D9" t="str">
        <f>INDEX(Define!V:V,MATCH(C9,Define!U:U))</f>
        <v>自身の攻撃で敵を倒す</v>
      </c>
      <c r="E9">
        <v>2</v>
      </c>
      <c r="F9">
        <v>0</v>
      </c>
      <c r="G9">
        <v>0</v>
      </c>
      <c r="H9">
        <v>0</v>
      </c>
    </row>
    <row r="10" spans="1:8">
      <c r="A10">
        <v>301030</v>
      </c>
      <c r="B10" t="str">
        <f>INDEX(Skills!C:C,MATCH(A10,Skills!A:A))</f>
        <v>トライアングルガード</v>
      </c>
      <c r="C10">
        <v>9030</v>
      </c>
      <c r="D10" t="str">
        <f>INDEX(Define!V:V,MATCH(C10,Define!U:U))</f>
        <v>ターン数がparam1 x ターン数 + param2</v>
      </c>
      <c r="E10">
        <v>2</v>
      </c>
      <c r="F10">
        <v>3</v>
      </c>
      <c r="G10">
        <v>0</v>
      </c>
      <c r="H10">
        <v>1</v>
      </c>
    </row>
    <row r="11" spans="1:8">
      <c r="A11">
        <v>301030</v>
      </c>
      <c r="B11" t="str">
        <f>INDEX(Skills!C:C,MATCH(A11,Skills!A:A))</f>
        <v>トライアングルガード</v>
      </c>
      <c r="C11">
        <v>16010</v>
      </c>
      <c r="D11" t="str">
        <f>INDEX(Define!V:V,MATCH(C11,Define!U:U))</f>
        <v>攻撃したのが自身</v>
      </c>
      <c r="E11">
        <v>2</v>
      </c>
      <c r="F11">
        <v>0</v>
      </c>
      <c r="G11">
        <v>0</v>
      </c>
      <c r="H11">
        <v>0</v>
      </c>
    </row>
    <row r="12" spans="1:8">
      <c r="A12">
        <v>301040</v>
      </c>
      <c r="B12" t="str">
        <f>INDEX(Skills!C:C,MATCH(A12,Skills!A:A))</f>
        <v>セーフティバリア</v>
      </c>
      <c r="C12">
        <v>9030</v>
      </c>
      <c r="D12" t="str">
        <f>INDEX(Define!V:V,MATCH(C12,Define!U:U))</f>
        <v>ターン数がparam1 x ターン数 + param2</v>
      </c>
      <c r="E12">
        <v>2</v>
      </c>
      <c r="F12">
        <v>0</v>
      </c>
      <c r="G12">
        <v>2</v>
      </c>
      <c r="H12">
        <v>1</v>
      </c>
    </row>
    <row r="13" spans="1:8">
      <c r="A13">
        <v>301040</v>
      </c>
      <c r="B13" t="str">
        <f>INDEX(Skills!C:C,MATCH(A13,Skills!A:A))</f>
        <v>セーフティバリア</v>
      </c>
      <c r="C13">
        <v>16010</v>
      </c>
      <c r="D13" t="str">
        <f>INDEX(Define!V:V,MATCH(C13,Define!U:U))</f>
        <v>攻撃したのが自身</v>
      </c>
      <c r="E13">
        <v>2</v>
      </c>
      <c r="F13">
        <v>0</v>
      </c>
      <c r="G13">
        <v>0</v>
      </c>
      <c r="H13">
        <v>0</v>
      </c>
    </row>
    <row r="14" spans="1:8">
      <c r="A14">
        <v>301060</v>
      </c>
      <c r="B14" t="str">
        <f>INDEX(Skills!C:C,MATCH(A14,Skills!A:A))</f>
        <v>セカンドステージ</v>
      </c>
      <c r="C14">
        <v>12040</v>
      </c>
      <c r="D14" t="str">
        <f>INDEX(Define!V:V,MATCH(C14,Define!U:U))</f>
        <v>攻撃を受けた対象のHpがParam1%以下 Param2==1で生存判定しない</v>
      </c>
      <c r="E14">
        <v>2</v>
      </c>
      <c r="F14">
        <v>0</v>
      </c>
      <c r="G14">
        <v>1</v>
      </c>
      <c r="H14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7"/>
  <sheetViews>
    <sheetView topLeftCell="A30" workbookViewId="0">
      <selection activeCell="C35" sqref="C35"/>
    </sheetView>
  </sheetViews>
  <sheetFormatPr defaultColWidth="8.72727272727273" defaultRowHeight="13" outlineLevelCol="3"/>
  <cols>
    <col min="2" max="2" width="20" customWidth="1"/>
    <col min="3" max="3" width="48" customWidth="1"/>
    <col min="4" max="4" width="17.5454545454545" customWidth="1"/>
  </cols>
  <sheetData>
    <row r="1" spans="1:3">
      <c r="A1" t="s">
        <v>0</v>
      </c>
      <c r="B1" t="s">
        <v>26</v>
      </c>
      <c r="C1" t="s">
        <v>27</v>
      </c>
    </row>
    <row r="2" spans="1:3">
      <c r="A2">
        <v>0</v>
      </c>
      <c r="B2" t="s">
        <v>28</v>
      </c>
      <c r="C2" t="s">
        <v>29</v>
      </c>
    </row>
    <row r="3" spans="1:3">
      <c r="A3">
        <v>1</v>
      </c>
      <c r="B3" t="s">
        <v>30</v>
      </c>
      <c r="C3" t="s">
        <v>29</v>
      </c>
    </row>
    <row r="4" ht="26" spans="1:3">
      <c r="A4">
        <v>11</v>
      </c>
      <c r="B4" t="s">
        <v>31</v>
      </c>
      <c r="C4" s="3" t="s">
        <v>32</v>
      </c>
    </row>
    <row r="5" spans="1:3">
      <c r="A5">
        <v>21</v>
      </c>
      <c r="B5" t="s">
        <v>33</v>
      </c>
      <c r="C5" t="s">
        <v>34</v>
      </c>
    </row>
    <row r="6" spans="1:3">
      <c r="A6">
        <v>31</v>
      </c>
      <c r="B6" t="s">
        <v>35</v>
      </c>
      <c r="C6" s="3" t="s">
        <v>36</v>
      </c>
    </row>
    <row r="7" spans="1:3">
      <c r="A7">
        <v>32</v>
      </c>
      <c r="B7" t="s">
        <v>17</v>
      </c>
      <c r="C7" t="s">
        <v>29</v>
      </c>
    </row>
    <row r="8" spans="1:3">
      <c r="A8">
        <v>33</v>
      </c>
      <c r="B8" t="s">
        <v>37</v>
      </c>
      <c r="C8" s="3" t="s">
        <v>36</v>
      </c>
    </row>
    <row r="9" spans="1:3">
      <c r="A9">
        <v>1010</v>
      </c>
      <c r="B9" t="s">
        <v>38</v>
      </c>
      <c r="C9" s="3" t="s">
        <v>39</v>
      </c>
    </row>
    <row r="10" spans="1:3">
      <c r="A10">
        <v>1020</v>
      </c>
      <c r="B10" t="s">
        <v>40</v>
      </c>
      <c r="C10" t="s">
        <v>39</v>
      </c>
    </row>
    <row r="11" spans="1:3">
      <c r="A11">
        <v>1030</v>
      </c>
      <c r="B11" t="s">
        <v>41</v>
      </c>
      <c r="C11" s="1" t="s">
        <v>42</v>
      </c>
    </row>
    <row r="12" spans="1:3">
      <c r="A12">
        <v>1040</v>
      </c>
      <c r="B12" t="s">
        <v>43</v>
      </c>
      <c r="C12" s="3" t="s">
        <v>44</v>
      </c>
    </row>
    <row r="13" customFormat="1" spans="1:3">
      <c r="A13">
        <v>1050</v>
      </c>
      <c r="B13" t="s">
        <v>45</v>
      </c>
      <c r="C13" s="3" t="s">
        <v>46</v>
      </c>
    </row>
    <row r="14" spans="1:3">
      <c r="A14">
        <v>1060</v>
      </c>
      <c r="B14" t="s">
        <v>47</v>
      </c>
      <c r="C14" t="s">
        <v>39</v>
      </c>
    </row>
    <row r="15" customFormat="1" spans="1:3">
      <c r="A15">
        <v>1070</v>
      </c>
      <c r="B15" t="s">
        <v>48</v>
      </c>
      <c r="C15" t="s">
        <v>49</v>
      </c>
    </row>
    <row r="16" customFormat="1" ht="26" spans="1:3">
      <c r="A16">
        <v>1080</v>
      </c>
      <c r="B16" t="s">
        <v>50</v>
      </c>
      <c r="C16" s="3" t="s">
        <v>51</v>
      </c>
    </row>
    <row r="17" spans="1:3">
      <c r="A17">
        <v>2010</v>
      </c>
      <c r="B17" t="s">
        <v>52</v>
      </c>
      <c r="C17" s="3" t="s">
        <v>39</v>
      </c>
    </row>
    <row r="18" spans="1:3">
      <c r="A18">
        <v>2020</v>
      </c>
      <c r="B18" t="s">
        <v>53</v>
      </c>
      <c r="C18" t="s">
        <v>54</v>
      </c>
    </row>
    <row r="19" ht="39" spans="1:3">
      <c r="A19">
        <v>2030</v>
      </c>
      <c r="B19" t="s">
        <v>55</v>
      </c>
      <c r="C19" s="3" t="s">
        <v>56</v>
      </c>
    </row>
    <row r="20" spans="1:3">
      <c r="A20">
        <v>2040</v>
      </c>
      <c r="B20" t="s">
        <v>57</v>
      </c>
      <c r="C20" s="1" t="s">
        <v>58</v>
      </c>
    </row>
    <row r="21" customFormat="1" ht="26" spans="1:3">
      <c r="A21">
        <v>2050</v>
      </c>
      <c r="B21" t="s">
        <v>59</v>
      </c>
      <c r="C21" s="3" t="s">
        <v>60</v>
      </c>
    </row>
    <row r="22" customFormat="1" ht="39" spans="1:3">
      <c r="A22">
        <v>2060</v>
      </c>
      <c r="B22" t="s">
        <v>61</v>
      </c>
      <c r="C22" s="3" t="s">
        <v>62</v>
      </c>
    </row>
    <row r="23" ht="26" spans="1:3">
      <c r="A23">
        <v>2070</v>
      </c>
      <c r="B23" t="s">
        <v>63</v>
      </c>
      <c r="C23" s="3" t="s">
        <v>64</v>
      </c>
    </row>
    <row r="24" customFormat="1" ht="26" spans="1:3">
      <c r="A24">
        <v>2080</v>
      </c>
      <c r="B24" t="s">
        <v>65</v>
      </c>
      <c r="C24" s="3" t="s">
        <v>66</v>
      </c>
    </row>
    <row r="25" spans="1:3">
      <c r="A25">
        <v>3010</v>
      </c>
      <c r="B25" t="s">
        <v>67</v>
      </c>
      <c r="C25" s="3" t="s">
        <v>39</v>
      </c>
    </row>
    <row r="26" ht="26" spans="1:3">
      <c r="A26">
        <v>3020</v>
      </c>
      <c r="B26" t="s">
        <v>68</v>
      </c>
      <c r="C26" s="3" t="s">
        <v>69</v>
      </c>
    </row>
    <row r="27" spans="1:3">
      <c r="A27">
        <v>3030</v>
      </c>
      <c r="B27" t="s">
        <v>70</v>
      </c>
      <c r="C27" s="3" t="s">
        <v>71</v>
      </c>
    </row>
    <row r="28" ht="39" spans="1:3">
      <c r="A28">
        <v>3040</v>
      </c>
      <c r="B28" t="s">
        <v>72</v>
      </c>
      <c r="C28" s="3" t="s">
        <v>73</v>
      </c>
    </row>
    <row r="29" ht="26" spans="1:3">
      <c r="A29">
        <v>3050</v>
      </c>
      <c r="B29" t="s">
        <v>74</v>
      </c>
      <c r="C29" s="3" t="s">
        <v>75</v>
      </c>
    </row>
    <row r="30" ht="26" spans="1:3">
      <c r="A30">
        <v>3060</v>
      </c>
      <c r="B30" t="s">
        <v>76</v>
      </c>
      <c r="C30" s="3" t="s">
        <v>77</v>
      </c>
    </row>
    <row r="31" ht="26" spans="1:3">
      <c r="A31">
        <v>3070</v>
      </c>
      <c r="B31" t="s">
        <v>78</v>
      </c>
      <c r="C31" s="3" t="s">
        <v>79</v>
      </c>
    </row>
    <row r="32" customFormat="1" ht="26" spans="1:3">
      <c r="A32">
        <v>3080</v>
      </c>
      <c r="B32" t="s">
        <v>80</v>
      </c>
      <c r="C32" s="3" t="s">
        <v>81</v>
      </c>
    </row>
    <row r="33" customFormat="1" spans="1:3">
      <c r="A33">
        <v>3110</v>
      </c>
      <c r="B33" t="s">
        <v>82</v>
      </c>
      <c r="C33" s="3" t="s">
        <v>83</v>
      </c>
    </row>
    <row r="34" customFormat="1" spans="1:3">
      <c r="A34">
        <v>3120</v>
      </c>
      <c r="B34" t="s">
        <v>84</v>
      </c>
      <c r="C34" s="3" t="s">
        <v>85</v>
      </c>
    </row>
    <row r="35" ht="26" spans="1:3">
      <c r="A35">
        <v>4010</v>
      </c>
      <c r="B35" t="s">
        <v>86</v>
      </c>
      <c r="C35" s="3" t="s">
        <v>87</v>
      </c>
    </row>
    <row r="36" ht="26" spans="1:3">
      <c r="A36">
        <v>4020</v>
      </c>
      <c r="B36" t="s">
        <v>88</v>
      </c>
      <c r="C36" s="3" t="s">
        <v>89</v>
      </c>
    </row>
    <row r="37" ht="26" spans="1:3">
      <c r="A37">
        <v>4030</v>
      </c>
      <c r="B37" t="s">
        <v>90</v>
      </c>
      <c r="C37" s="3" t="s">
        <v>91</v>
      </c>
    </row>
    <row r="38" ht="26" spans="1:3">
      <c r="A38">
        <v>4040</v>
      </c>
      <c r="B38" t="s">
        <v>92</v>
      </c>
      <c r="C38" s="3" t="s">
        <v>93</v>
      </c>
    </row>
    <row r="39" spans="1:4">
      <c r="A39">
        <v>4050</v>
      </c>
      <c r="B39" t="s">
        <v>94</v>
      </c>
      <c r="C39" s="3" t="s">
        <v>95</v>
      </c>
      <c r="D39" t="s">
        <v>96</v>
      </c>
    </row>
    <row r="40" spans="1:3">
      <c r="A40">
        <v>4060</v>
      </c>
      <c r="B40" t="s">
        <v>97</v>
      </c>
      <c r="C40" s="3" t="s">
        <v>98</v>
      </c>
    </row>
    <row r="41" ht="26" spans="1:3">
      <c r="A41">
        <v>4070</v>
      </c>
      <c r="B41" t="s">
        <v>99</v>
      </c>
      <c r="C41" s="3" t="s">
        <v>100</v>
      </c>
    </row>
    <row r="42" spans="1:3">
      <c r="A42">
        <v>4080</v>
      </c>
      <c r="B42" t="s">
        <v>101</v>
      </c>
      <c r="C42" s="3" t="s">
        <v>102</v>
      </c>
    </row>
    <row r="43" spans="1:3">
      <c r="A43">
        <v>5010</v>
      </c>
      <c r="B43" t="s">
        <v>103</v>
      </c>
      <c r="C43" s="3" t="s">
        <v>39</v>
      </c>
    </row>
    <row r="44" spans="1:3">
      <c r="A44">
        <v>5020</v>
      </c>
      <c r="B44" t="s">
        <v>104</v>
      </c>
      <c r="C44" s="3" t="s">
        <v>39</v>
      </c>
    </row>
    <row r="45" ht="26" spans="1:3">
      <c r="A45">
        <v>5030</v>
      </c>
      <c r="B45" t="s">
        <v>105</v>
      </c>
      <c r="C45" s="3" t="s">
        <v>106</v>
      </c>
    </row>
    <row r="46" ht="39" spans="1:3">
      <c r="A46">
        <v>5040</v>
      </c>
      <c r="B46" t="s">
        <v>107</v>
      </c>
      <c r="C46" s="3" t="s">
        <v>108</v>
      </c>
    </row>
    <row r="47" ht="26" spans="1:4">
      <c r="A47">
        <v>5050</v>
      </c>
      <c r="B47" t="s">
        <v>109</v>
      </c>
      <c r="C47" s="3" t="s">
        <v>110</v>
      </c>
      <c r="D47" t="s">
        <v>111</v>
      </c>
    </row>
    <row r="48" spans="1:3">
      <c r="A48">
        <v>5060</v>
      </c>
      <c r="B48" t="s">
        <v>112</v>
      </c>
      <c r="C48" s="3" t="s">
        <v>113</v>
      </c>
    </row>
    <row r="49" spans="1:3">
      <c r="A49">
        <v>5070</v>
      </c>
      <c r="B49" t="s">
        <v>114</v>
      </c>
      <c r="C49" s="3" t="s">
        <v>115</v>
      </c>
    </row>
    <row r="50" customFormat="1" ht="39" spans="1:3">
      <c r="A50">
        <v>5080</v>
      </c>
      <c r="B50" t="s">
        <v>116</v>
      </c>
      <c r="C50" s="3" t="s">
        <v>117</v>
      </c>
    </row>
    <row r="51" ht="39" spans="1:3">
      <c r="A51">
        <v>10010</v>
      </c>
      <c r="B51" t="s">
        <v>118</v>
      </c>
      <c r="C51" s="3" t="s">
        <v>119</v>
      </c>
    </row>
    <row r="52" ht="39" spans="1:3">
      <c r="A52">
        <v>10020</v>
      </c>
      <c r="B52" t="s">
        <v>120</v>
      </c>
      <c r="C52" s="4" t="s">
        <v>121</v>
      </c>
    </row>
    <row r="53" customFormat="1" ht="26" spans="1:3">
      <c r="A53">
        <v>10030</v>
      </c>
      <c r="B53" t="s">
        <v>122</v>
      </c>
      <c r="C53" s="4" t="s">
        <v>123</v>
      </c>
    </row>
    <row r="54" customFormat="1" ht="26" spans="1:3">
      <c r="A54">
        <v>10040</v>
      </c>
      <c r="B54" t="s">
        <v>124</v>
      </c>
      <c r="C54" s="4" t="s">
        <v>125</v>
      </c>
    </row>
    <row r="55" customFormat="1" ht="26" spans="1:3">
      <c r="A55">
        <v>10050</v>
      </c>
      <c r="B55" t="s">
        <v>126</v>
      </c>
      <c r="C55" s="4" t="s">
        <v>127</v>
      </c>
    </row>
    <row r="56" customFormat="1" ht="26" spans="1:3">
      <c r="A56">
        <v>10060</v>
      </c>
      <c r="B56" t="s">
        <v>128</v>
      </c>
      <c r="C56" s="4" t="s">
        <v>129</v>
      </c>
    </row>
    <row r="57" spans="1:3">
      <c r="A57">
        <v>11010</v>
      </c>
      <c r="B57" t="s">
        <v>130</v>
      </c>
      <c r="C57" s="4" t="s">
        <v>131</v>
      </c>
    </row>
    <row r="58" ht="26" spans="1:3">
      <c r="A58">
        <v>11020</v>
      </c>
      <c r="B58" t="s">
        <v>132</v>
      </c>
      <c r="C58" s="4" t="s">
        <v>133</v>
      </c>
    </row>
    <row r="59" ht="26" spans="1:3">
      <c r="A59">
        <v>11030</v>
      </c>
      <c r="B59" t="s">
        <v>134</v>
      </c>
      <c r="C59" s="4" t="s">
        <v>135</v>
      </c>
    </row>
    <row r="60" customFormat="1" ht="26" spans="1:4">
      <c r="A60">
        <v>11040</v>
      </c>
      <c r="B60" t="s">
        <v>136</v>
      </c>
      <c r="C60" s="3" t="s">
        <v>137</v>
      </c>
      <c r="D60" t="s">
        <v>136</v>
      </c>
    </row>
    <row r="61" ht="39" spans="1:3">
      <c r="A61">
        <v>11050</v>
      </c>
      <c r="B61" t="s">
        <v>138</v>
      </c>
      <c r="C61" s="3" t="s">
        <v>139</v>
      </c>
    </row>
    <row r="62" customFormat="1" ht="26" spans="1:3">
      <c r="A62">
        <v>11060</v>
      </c>
      <c r="B62" t="s">
        <v>140</v>
      </c>
      <c r="C62" s="3" t="s">
        <v>141</v>
      </c>
    </row>
    <row r="63" customFormat="1" ht="39" spans="1:3">
      <c r="A63">
        <v>11070</v>
      </c>
      <c r="B63" t="s">
        <v>142</v>
      </c>
      <c r="C63" s="3" t="s">
        <v>143</v>
      </c>
    </row>
    <row r="64" customFormat="1" ht="26" spans="1:3">
      <c r="A64">
        <v>11080</v>
      </c>
      <c r="B64" t="s">
        <v>144</v>
      </c>
      <c r="C64" s="3" t="s">
        <v>145</v>
      </c>
    </row>
    <row r="65" customFormat="1" ht="39" spans="1:3">
      <c r="A65">
        <v>11090</v>
      </c>
      <c r="B65" t="s">
        <v>146</v>
      </c>
      <c r="C65" s="3" t="s">
        <v>147</v>
      </c>
    </row>
    <row r="66" ht="26" spans="1:3">
      <c r="A66">
        <v>12010</v>
      </c>
      <c r="B66" t="s">
        <v>148</v>
      </c>
      <c r="C66" s="3" t="s">
        <v>149</v>
      </c>
    </row>
    <row r="67" spans="1:3">
      <c r="A67">
        <v>12020</v>
      </c>
      <c r="B67" t="s">
        <v>150</v>
      </c>
      <c r="C67" s="3" t="s">
        <v>151</v>
      </c>
    </row>
    <row r="68" spans="1:3">
      <c r="A68">
        <v>12030</v>
      </c>
      <c r="B68" t="s">
        <v>152</v>
      </c>
      <c r="C68" s="3" t="s">
        <v>153</v>
      </c>
    </row>
    <row r="69" ht="39" spans="1:3">
      <c r="A69">
        <v>12040</v>
      </c>
      <c r="B69" t="s">
        <v>154</v>
      </c>
      <c r="C69" s="3" t="s">
        <v>155</v>
      </c>
    </row>
    <row r="70" ht="26" spans="1:3">
      <c r="A70">
        <v>12050</v>
      </c>
      <c r="B70" t="s">
        <v>156</v>
      </c>
      <c r="C70" s="3" t="s">
        <v>157</v>
      </c>
    </row>
    <row r="71" customFormat="1" ht="26" spans="1:3">
      <c r="A71">
        <v>12060</v>
      </c>
      <c r="B71" t="s">
        <v>158</v>
      </c>
      <c r="C71" s="3" t="s">
        <v>159</v>
      </c>
    </row>
    <row r="72" customFormat="1" ht="39" spans="1:3">
      <c r="A72">
        <v>12070</v>
      </c>
      <c r="B72" t="s">
        <v>160</v>
      </c>
      <c r="C72" s="3" t="s">
        <v>161</v>
      </c>
    </row>
    <row r="73" customFormat="1" ht="26" spans="1:3">
      <c r="A73">
        <v>12080</v>
      </c>
      <c r="B73" t="s">
        <v>162</v>
      </c>
      <c r="C73" s="3" t="s">
        <v>163</v>
      </c>
    </row>
    <row r="74" customFormat="1" ht="26" spans="1:3">
      <c r="A74">
        <v>12090</v>
      </c>
      <c r="B74" t="s">
        <v>164</v>
      </c>
      <c r="C74" s="3" t="s">
        <v>165</v>
      </c>
    </row>
    <row r="75" spans="1:3">
      <c r="A75">
        <v>13010</v>
      </c>
      <c r="B75" t="s">
        <v>166</v>
      </c>
      <c r="C75" s="3" t="s">
        <v>167</v>
      </c>
    </row>
    <row r="76" customFormat="1" ht="26" spans="1:3">
      <c r="A76">
        <v>13020</v>
      </c>
      <c r="B76" t="s">
        <v>168</v>
      </c>
      <c r="C76" s="3" t="s">
        <v>169</v>
      </c>
    </row>
    <row r="77" customFormat="1" ht="26" spans="1:3">
      <c r="A77">
        <v>13030</v>
      </c>
      <c r="B77" t="s">
        <v>170</v>
      </c>
      <c r="C77" s="3" t="s">
        <v>171</v>
      </c>
    </row>
    <row r="78" ht="26" spans="1:3">
      <c r="A78">
        <v>13040</v>
      </c>
      <c r="B78" t="s">
        <v>172</v>
      </c>
      <c r="C78" s="3" t="s">
        <v>173</v>
      </c>
    </row>
    <row r="79" ht="39" spans="1:3">
      <c r="A79">
        <v>13050</v>
      </c>
      <c r="B79" t="s">
        <v>174</v>
      </c>
      <c r="C79" s="3" t="s">
        <v>175</v>
      </c>
    </row>
    <row r="80" customFormat="1" ht="26" spans="1:3">
      <c r="A80">
        <v>13060</v>
      </c>
      <c r="B80" t="s">
        <v>176</v>
      </c>
      <c r="C80" s="3" t="s">
        <v>177</v>
      </c>
    </row>
    <row r="81" ht="26" spans="1:3">
      <c r="A81">
        <v>13070</v>
      </c>
      <c r="B81" t="s">
        <v>178</v>
      </c>
      <c r="C81" s="3" t="s">
        <v>179</v>
      </c>
    </row>
    <row r="82" customFormat="1" ht="26" spans="1:3">
      <c r="A82">
        <v>13080</v>
      </c>
      <c r="B82" t="s">
        <v>180</v>
      </c>
      <c r="C82" s="3" t="s">
        <v>181</v>
      </c>
    </row>
    <row r="83" customFormat="1" ht="39" spans="1:3">
      <c r="A83">
        <v>13090</v>
      </c>
      <c r="B83" t="s">
        <v>182</v>
      </c>
      <c r="C83" s="3" t="s">
        <v>183</v>
      </c>
    </row>
    <row r="84" ht="39" spans="1:3">
      <c r="A84">
        <v>14010</v>
      </c>
      <c r="B84" t="s">
        <v>184</v>
      </c>
      <c r="C84" s="3" t="s">
        <v>185</v>
      </c>
    </row>
    <row r="85" ht="39" spans="1:3">
      <c r="A85">
        <v>14020</v>
      </c>
      <c r="B85" t="s">
        <v>186</v>
      </c>
      <c r="C85" s="3" t="s">
        <v>187</v>
      </c>
    </row>
    <row r="86" ht="26" spans="1:3">
      <c r="A86">
        <v>14030</v>
      </c>
      <c r="B86" t="s">
        <v>188</v>
      </c>
      <c r="C86" s="3" t="s">
        <v>189</v>
      </c>
    </row>
    <row r="87" spans="1:3">
      <c r="A87">
        <v>14040</v>
      </c>
      <c r="B87" t="s">
        <v>190</v>
      </c>
      <c r="C87" t="s">
        <v>191</v>
      </c>
    </row>
    <row r="88" customFormat="1" spans="1:3">
      <c r="A88">
        <v>14050</v>
      </c>
      <c r="B88" t="s">
        <v>192</v>
      </c>
      <c r="C88" s="3" t="s">
        <v>193</v>
      </c>
    </row>
    <row r="89" ht="39" spans="1:3">
      <c r="A89">
        <v>14060</v>
      </c>
      <c r="B89" t="s">
        <v>194</v>
      </c>
      <c r="C89" s="3" t="s">
        <v>195</v>
      </c>
    </row>
    <row r="90" ht="39" spans="1:3">
      <c r="A90">
        <v>14070</v>
      </c>
      <c r="B90" t="s">
        <v>196</v>
      </c>
      <c r="C90" s="3" t="s">
        <v>197</v>
      </c>
    </row>
    <row r="91" customFormat="1" ht="26" spans="1:3">
      <c r="A91">
        <v>14080</v>
      </c>
      <c r="B91" t="s">
        <v>198</v>
      </c>
      <c r="C91" s="3" t="s">
        <v>199</v>
      </c>
    </row>
    <row r="92" customFormat="1" ht="52" spans="1:4">
      <c r="A92">
        <v>14090</v>
      </c>
      <c r="B92" t="s">
        <v>200</v>
      </c>
      <c r="C92" s="3" t="s">
        <v>201</v>
      </c>
      <c r="D92" t="s">
        <v>202</v>
      </c>
    </row>
    <row r="93" spans="1:3">
      <c r="A93">
        <v>15010</v>
      </c>
      <c r="B93" t="s">
        <v>203</v>
      </c>
      <c r="C93" s="3" t="s">
        <v>204</v>
      </c>
    </row>
    <row r="94" ht="26" spans="1:3">
      <c r="A94">
        <v>15020</v>
      </c>
      <c r="B94" t="s">
        <v>205</v>
      </c>
      <c r="C94" s="3" t="s">
        <v>206</v>
      </c>
    </row>
    <row r="95" customFormat="1" ht="26" spans="1:3">
      <c r="A95">
        <v>15030</v>
      </c>
      <c r="B95" t="s">
        <v>207</v>
      </c>
      <c r="C95" s="3" t="s">
        <v>208</v>
      </c>
    </row>
    <row r="96" ht="39" spans="1:3">
      <c r="A96">
        <v>15040</v>
      </c>
      <c r="B96" t="s">
        <v>209</v>
      </c>
      <c r="C96" s="3" t="s">
        <v>210</v>
      </c>
    </row>
    <row r="97" customFormat="1" ht="26" spans="1:3">
      <c r="A97">
        <v>15050</v>
      </c>
      <c r="B97" t="s">
        <v>211</v>
      </c>
      <c r="C97" s="3" t="s">
        <v>212</v>
      </c>
    </row>
    <row r="98" ht="26" spans="1:3">
      <c r="A98">
        <v>15060</v>
      </c>
      <c r="B98" t="s">
        <v>213</v>
      </c>
      <c r="C98" s="3" t="s">
        <v>214</v>
      </c>
    </row>
    <row r="99" customFormat="1" ht="26" spans="1:4">
      <c r="A99">
        <v>15070</v>
      </c>
      <c r="B99" t="s">
        <v>215</v>
      </c>
      <c r="C99" s="3" t="s">
        <v>216</v>
      </c>
      <c r="D99" t="s">
        <v>217</v>
      </c>
    </row>
    <row r="100" customFormat="1" ht="26" spans="1:3">
      <c r="A100">
        <v>15080</v>
      </c>
      <c r="B100" t="s">
        <v>218</v>
      </c>
      <c r="C100" s="3" t="s">
        <v>219</v>
      </c>
    </row>
    <row r="101" customFormat="1" ht="26" spans="1:3">
      <c r="A101">
        <v>15090</v>
      </c>
      <c r="B101" t="s">
        <v>220</v>
      </c>
      <c r="C101" s="3" t="s">
        <v>221</v>
      </c>
    </row>
    <row r="102" spans="1:3">
      <c r="A102">
        <v>20010</v>
      </c>
      <c r="B102" t="s">
        <v>222</v>
      </c>
      <c r="C102" s="4" t="s">
        <v>223</v>
      </c>
    </row>
    <row r="103" ht="52" spans="1:3">
      <c r="A103">
        <v>100110</v>
      </c>
      <c r="B103" t="s">
        <v>224</v>
      </c>
      <c r="C103" s="3" t="s">
        <v>225</v>
      </c>
    </row>
    <row r="104" ht="26" spans="1:3">
      <c r="A104">
        <v>100120</v>
      </c>
      <c r="B104" t="s">
        <v>226</v>
      </c>
      <c r="C104" s="3" t="s">
        <v>227</v>
      </c>
    </row>
    <row r="105" ht="39" spans="1:3">
      <c r="A105">
        <v>100210</v>
      </c>
      <c r="B105" t="s">
        <v>228</v>
      </c>
      <c r="C105" s="3" t="s">
        <v>229</v>
      </c>
    </row>
    <row r="106" ht="28" customHeight="1" spans="1:3">
      <c r="A106">
        <v>100220</v>
      </c>
      <c r="B106" t="s">
        <v>230</v>
      </c>
      <c r="C106" s="3" t="s">
        <v>231</v>
      </c>
    </row>
    <row r="107" ht="52" spans="1:3">
      <c r="A107">
        <v>100310</v>
      </c>
      <c r="B107" t="s">
        <v>232</v>
      </c>
      <c r="C107" s="3" t="s">
        <v>233</v>
      </c>
    </row>
    <row r="108" ht="26" spans="1:3">
      <c r="A108">
        <v>100320</v>
      </c>
      <c r="B108" t="s">
        <v>234</v>
      </c>
      <c r="C108" s="3" t="s">
        <v>235</v>
      </c>
    </row>
    <row r="109" ht="39" spans="1:3">
      <c r="A109">
        <v>100410</v>
      </c>
      <c r="B109" t="s">
        <v>236</v>
      </c>
      <c r="C109" s="3" t="s">
        <v>237</v>
      </c>
    </row>
    <row r="110" ht="52" spans="1:3">
      <c r="A110">
        <v>100420</v>
      </c>
      <c r="B110" t="s">
        <v>238</v>
      </c>
      <c r="C110" s="3" t="s">
        <v>239</v>
      </c>
    </row>
    <row r="111" ht="52" spans="1:3">
      <c r="A111">
        <v>100510</v>
      </c>
      <c r="B111" t="s">
        <v>240</v>
      </c>
      <c r="C111" s="3" t="s">
        <v>241</v>
      </c>
    </row>
    <row r="112" ht="52" spans="1:3">
      <c r="A112">
        <v>100520</v>
      </c>
      <c r="B112" t="s">
        <v>242</v>
      </c>
      <c r="C112" s="3" t="s">
        <v>243</v>
      </c>
    </row>
    <row r="113" ht="39" spans="1:3">
      <c r="A113">
        <v>100610</v>
      </c>
      <c r="B113" t="s">
        <v>244</v>
      </c>
      <c r="C113" s="3" t="s">
        <v>245</v>
      </c>
    </row>
    <row r="114" ht="39" spans="1:3">
      <c r="A114">
        <v>100620</v>
      </c>
      <c r="B114" t="s">
        <v>246</v>
      </c>
      <c r="C114" s="3" t="s">
        <v>247</v>
      </c>
    </row>
    <row r="115" customFormat="1" ht="52" spans="1:3">
      <c r="A115">
        <v>100710</v>
      </c>
      <c r="B115" t="s">
        <v>248</v>
      </c>
      <c r="C115" s="3" t="s">
        <v>249</v>
      </c>
    </row>
    <row r="116" ht="26" spans="1:3">
      <c r="A116">
        <v>100720</v>
      </c>
      <c r="B116" t="s">
        <v>250</v>
      </c>
      <c r="C116" s="3" t="s">
        <v>251</v>
      </c>
    </row>
    <row r="117" customFormat="1" ht="39" spans="1:3">
      <c r="A117">
        <v>100810</v>
      </c>
      <c r="B117" t="s">
        <v>252</v>
      </c>
      <c r="C117" s="3" t="s">
        <v>253</v>
      </c>
    </row>
    <row r="118" customFormat="1" ht="26" spans="1:3">
      <c r="A118">
        <v>100820</v>
      </c>
      <c r="B118" t="s">
        <v>254</v>
      </c>
      <c r="C118" s="3" t="s">
        <v>227</v>
      </c>
    </row>
    <row r="119" customFormat="1" ht="39" spans="1:3">
      <c r="A119">
        <v>100910</v>
      </c>
      <c r="B119" t="s">
        <v>255</v>
      </c>
      <c r="C119" s="3" t="s">
        <v>256</v>
      </c>
    </row>
    <row r="120" customFormat="1" ht="39" spans="1:3">
      <c r="A120">
        <v>100911</v>
      </c>
      <c r="B120" t="s">
        <v>255</v>
      </c>
      <c r="C120" s="3" t="s">
        <v>256</v>
      </c>
    </row>
    <row r="121" customFormat="1" ht="39" spans="1:3">
      <c r="A121">
        <v>100920</v>
      </c>
      <c r="B121" t="s">
        <v>257</v>
      </c>
      <c r="C121" s="3" t="s">
        <v>258</v>
      </c>
    </row>
    <row r="122" customFormat="1" ht="39" spans="1:3">
      <c r="A122">
        <v>100921</v>
      </c>
      <c r="B122" t="s">
        <v>257</v>
      </c>
      <c r="C122" s="3" t="s">
        <v>258</v>
      </c>
    </row>
    <row r="123" customFormat="1" ht="39" spans="1:4">
      <c r="A123">
        <v>101010</v>
      </c>
      <c r="B123" t="s">
        <v>259</v>
      </c>
      <c r="C123" s="3" t="s">
        <v>260</v>
      </c>
      <c r="D123" s="3"/>
    </row>
    <row r="124" customFormat="1" ht="26" spans="1:3">
      <c r="A124">
        <v>101020</v>
      </c>
      <c r="B124" t="s">
        <v>261</v>
      </c>
      <c r="C124" s="3" t="s">
        <v>227</v>
      </c>
    </row>
    <row r="125" customFormat="1" ht="39" spans="1:3">
      <c r="A125">
        <v>101110</v>
      </c>
      <c r="B125" t="s">
        <v>262</v>
      </c>
      <c r="C125" s="3" t="s">
        <v>263</v>
      </c>
    </row>
    <row r="126" customFormat="1" ht="39" spans="1:3">
      <c r="A126">
        <v>101120</v>
      </c>
      <c r="B126" t="s">
        <v>264</v>
      </c>
      <c r="C126" s="3" t="s">
        <v>265</v>
      </c>
    </row>
    <row r="127" ht="26" spans="1:3">
      <c r="A127">
        <v>200210</v>
      </c>
      <c r="B127" t="s">
        <v>266</v>
      </c>
      <c r="C127" s="3" t="s">
        <v>267</v>
      </c>
    </row>
    <row r="128" ht="26" spans="1:3">
      <c r="A128">
        <v>200220</v>
      </c>
      <c r="B128" t="s">
        <v>268</v>
      </c>
      <c r="C128" s="3" t="s">
        <v>227</v>
      </c>
    </row>
    <row r="129" ht="26" spans="1:3">
      <c r="A129">
        <v>200230</v>
      </c>
      <c r="B129" t="s">
        <v>269</v>
      </c>
      <c r="C129" s="4" t="s">
        <v>270</v>
      </c>
    </row>
    <row r="130" ht="52" spans="1:3">
      <c r="A130">
        <v>200310</v>
      </c>
      <c r="B130" t="s">
        <v>271</v>
      </c>
      <c r="C130" s="3" t="s">
        <v>272</v>
      </c>
    </row>
    <row r="131" ht="52" spans="1:3">
      <c r="A131">
        <v>200320</v>
      </c>
      <c r="B131" t="s">
        <v>273</v>
      </c>
      <c r="C131" s="3" t="s">
        <v>274</v>
      </c>
    </row>
    <row r="132" ht="26" spans="1:3">
      <c r="A132">
        <v>200330</v>
      </c>
      <c r="B132" t="s">
        <v>275</v>
      </c>
      <c r="C132" s="4" t="s">
        <v>276</v>
      </c>
    </row>
    <row r="133" customFormat="1" ht="52" spans="1:3">
      <c r="A133">
        <v>200410</v>
      </c>
      <c r="B133" t="s">
        <v>277</v>
      </c>
      <c r="C133" s="3" t="s">
        <v>278</v>
      </c>
    </row>
    <row r="134" customFormat="1" ht="52" spans="1:3">
      <c r="A134">
        <v>200411</v>
      </c>
      <c r="B134" t="s">
        <v>277</v>
      </c>
      <c r="C134" s="3" t="s">
        <v>279</v>
      </c>
    </row>
    <row r="135" customFormat="1" ht="39" spans="1:3">
      <c r="A135">
        <v>200420</v>
      </c>
      <c r="B135" t="s">
        <v>280</v>
      </c>
      <c r="C135" s="3" t="s">
        <v>281</v>
      </c>
    </row>
    <row r="136" customFormat="1" spans="1:3">
      <c r="A136">
        <v>200430</v>
      </c>
      <c r="B136" t="s">
        <v>282</v>
      </c>
      <c r="C136" s="3" t="s">
        <v>283</v>
      </c>
    </row>
    <row r="137" customFormat="1" ht="52" spans="1:3">
      <c r="A137">
        <v>200510</v>
      </c>
      <c r="B137" t="s">
        <v>284</v>
      </c>
      <c r="C137" s="3" t="s">
        <v>285</v>
      </c>
    </row>
    <row r="138" customFormat="1" ht="39" spans="1:3">
      <c r="A138">
        <v>200520</v>
      </c>
      <c r="B138" t="s">
        <v>286</v>
      </c>
      <c r="C138" s="3" t="s">
        <v>287</v>
      </c>
    </row>
    <row r="139" customFormat="1" ht="39" spans="1:3">
      <c r="A139">
        <v>200530</v>
      </c>
      <c r="B139" t="s">
        <v>288</v>
      </c>
      <c r="C139" s="4" t="s">
        <v>289</v>
      </c>
    </row>
    <row r="140" customFormat="1" ht="52" spans="1:3">
      <c r="A140">
        <v>201010</v>
      </c>
      <c r="B140" t="s">
        <v>290</v>
      </c>
      <c r="C140" s="3" t="s">
        <v>291</v>
      </c>
    </row>
    <row r="141" customFormat="1" ht="39" spans="1:3">
      <c r="A141">
        <v>201020</v>
      </c>
      <c r="B141" t="s">
        <v>292</v>
      </c>
      <c r="C141" s="3" t="s">
        <v>293</v>
      </c>
    </row>
    <row r="142" customFormat="1" ht="39" spans="1:3">
      <c r="A142">
        <v>201030</v>
      </c>
      <c r="B142" t="s">
        <v>294</v>
      </c>
      <c r="C142" s="4" t="s">
        <v>295</v>
      </c>
    </row>
    <row r="143" customFormat="1" ht="26" spans="1:3">
      <c r="A143">
        <v>300010</v>
      </c>
      <c r="B143" t="s">
        <v>296</v>
      </c>
      <c r="C143" s="3" t="s">
        <v>297</v>
      </c>
    </row>
    <row r="144" customFormat="1" ht="26" spans="1:3">
      <c r="A144">
        <v>300020</v>
      </c>
      <c r="B144" t="s">
        <v>298</v>
      </c>
      <c r="C144" s="3" t="s">
        <v>299</v>
      </c>
    </row>
    <row r="145" ht="26" spans="1:3">
      <c r="A145">
        <v>300030</v>
      </c>
      <c r="B145" t="s">
        <v>300</v>
      </c>
      <c r="C145" s="3" t="s">
        <v>301</v>
      </c>
    </row>
    <row r="146" customFormat="1" ht="26" spans="1:3">
      <c r="A146">
        <v>300040</v>
      </c>
      <c r="B146" t="s">
        <v>302</v>
      </c>
      <c r="C146" s="3" t="s">
        <v>303</v>
      </c>
    </row>
    <row r="147" customFormat="1" ht="26" spans="1:3">
      <c r="A147">
        <v>300050</v>
      </c>
      <c r="B147" t="s">
        <v>304</v>
      </c>
      <c r="C147" s="3" t="s">
        <v>305</v>
      </c>
    </row>
    <row r="148" customFormat="1" ht="26" spans="1:3">
      <c r="A148">
        <v>300130</v>
      </c>
      <c r="B148" t="s">
        <v>306</v>
      </c>
      <c r="C148" s="3" t="s">
        <v>307</v>
      </c>
    </row>
    <row r="149" customFormat="1" ht="26" spans="1:3">
      <c r="A149">
        <v>300140</v>
      </c>
      <c r="B149" t="s">
        <v>308</v>
      </c>
      <c r="C149" s="3" t="s">
        <v>309</v>
      </c>
    </row>
    <row r="150" customFormat="1" ht="26" spans="1:3">
      <c r="A150">
        <v>300210</v>
      </c>
      <c r="B150" t="s">
        <v>310</v>
      </c>
      <c r="C150" s="3" t="s">
        <v>311</v>
      </c>
    </row>
    <row r="151" customFormat="1" ht="26" spans="1:3">
      <c r="A151">
        <v>300220</v>
      </c>
      <c r="B151" t="s">
        <v>312</v>
      </c>
      <c r="C151" s="3" t="s">
        <v>313</v>
      </c>
    </row>
    <row r="152" customFormat="1" ht="39" spans="1:3">
      <c r="A152">
        <v>300230</v>
      </c>
      <c r="B152" t="s">
        <v>314</v>
      </c>
      <c r="C152" s="3" t="s">
        <v>315</v>
      </c>
    </row>
    <row r="153" customFormat="1" ht="26" spans="1:3">
      <c r="A153">
        <v>301010</v>
      </c>
      <c r="B153" t="s">
        <v>316</v>
      </c>
      <c r="C153" s="3" t="s">
        <v>317</v>
      </c>
    </row>
    <row r="154" customFormat="1" ht="26" spans="1:3">
      <c r="A154">
        <v>301020</v>
      </c>
      <c r="B154" t="s">
        <v>318</v>
      </c>
      <c r="C154" s="3" t="s">
        <v>319</v>
      </c>
    </row>
    <row r="155" customFormat="1" ht="26" spans="1:3">
      <c r="A155">
        <v>301030</v>
      </c>
      <c r="B155" t="s">
        <v>320</v>
      </c>
      <c r="C155" s="3" t="s">
        <v>321</v>
      </c>
    </row>
    <row r="156" customFormat="1" ht="52" spans="1:3">
      <c r="A156">
        <v>301040</v>
      </c>
      <c r="B156" t="s">
        <v>322</v>
      </c>
      <c r="C156" s="3" t="s">
        <v>323</v>
      </c>
    </row>
    <row r="157" customFormat="1" ht="26" spans="1:3">
      <c r="A157">
        <v>301050</v>
      </c>
      <c r="B157" t="s">
        <v>324</v>
      </c>
      <c r="C157" s="3" t="s">
        <v>325</v>
      </c>
    </row>
    <row r="158" customFormat="1" ht="39" spans="1:3">
      <c r="A158">
        <v>301060</v>
      </c>
      <c r="B158" t="s">
        <v>326</v>
      </c>
      <c r="C158" s="3" t="s">
        <v>327</v>
      </c>
    </row>
    <row r="159" customFormat="1" ht="26" spans="1:3">
      <c r="A159">
        <v>301070</v>
      </c>
      <c r="B159" t="s">
        <v>328</v>
      </c>
      <c r="C159" s="3" t="s">
        <v>297</v>
      </c>
    </row>
    <row r="160" customFormat="1" ht="39" spans="1:3">
      <c r="A160">
        <v>301080</v>
      </c>
      <c r="B160" t="s">
        <v>329</v>
      </c>
      <c r="C160" s="3" t="s">
        <v>330</v>
      </c>
    </row>
    <row r="161" customFormat="1" ht="39" spans="1:3">
      <c r="A161">
        <v>301090</v>
      </c>
      <c r="B161" t="s">
        <v>331</v>
      </c>
      <c r="C161" s="3" t="s">
        <v>332</v>
      </c>
    </row>
    <row r="162" customFormat="1" ht="26" spans="1:3">
      <c r="A162">
        <v>301100</v>
      </c>
      <c r="B162" t="s">
        <v>333</v>
      </c>
      <c r="C162" s="3" t="s">
        <v>157</v>
      </c>
    </row>
    <row r="163" customFormat="1" spans="1:3">
      <c r="A163">
        <v>401010</v>
      </c>
      <c r="B163" t="s">
        <v>334</v>
      </c>
      <c r="C163" s="3" t="s">
        <v>335</v>
      </c>
    </row>
    <row r="164" customFormat="1" spans="1:3">
      <c r="A164">
        <v>401020</v>
      </c>
      <c r="B164" t="s">
        <v>336</v>
      </c>
      <c r="C164" s="3" t="s">
        <v>335</v>
      </c>
    </row>
    <row r="165" customFormat="1" spans="1:3">
      <c r="A165">
        <v>401030</v>
      </c>
      <c r="B165" t="s">
        <v>337</v>
      </c>
      <c r="C165" s="3" t="s">
        <v>338</v>
      </c>
    </row>
    <row r="166" customFormat="1" spans="1:3">
      <c r="A166">
        <v>401040</v>
      </c>
      <c r="B166" t="s">
        <v>339</v>
      </c>
      <c r="C166" t="s">
        <v>340</v>
      </c>
    </row>
    <row r="167" customFormat="1" spans="1:3">
      <c r="A167">
        <v>401050</v>
      </c>
      <c r="B167" t="s">
        <v>341</v>
      </c>
      <c r="C167" s="3" t="s">
        <v>335</v>
      </c>
    </row>
    <row r="168" customFormat="1" spans="1:3">
      <c r="A168">
        <v>401060</v>
      </c>
      <c r="B168" t="s">
        <v>342</v>
      </c>
      <c r="C168" s="3" t="s">
        <v>335</v>
      </c>
    </row>
    <row r="169" customFormat="1" spans="1:3">
      <c r="A169">
        <v>401070</v>
      </c>
      <c r="B169" t="s">
        <v>343</v>
      </c>
      <c r="C169" s="3" t="s">
        <v>344</v>
      </c>
    </row>
    <row r="170" customFormat="1" spans="1:3">
      <c r="A170">
        <v>401080</v>
      </c>
      <c r="B170" t="s">
        <v>345</v>
      </c>
      <c r="C170" s="3" t="s">
        <v>346</v>
      </c>
    </row>
    <row r="171" customFormat="1" spans="1:3">
      <c r="A171">
        <v>402010</v>
      </c>
      <c r="B171" t="s">
        <v>347</v>
      </c>
      <c r="C171" s="3" t="s">
        <v>335</v>
      </c>
    </row>
    <row r="172" customFormat="1" spans="1:3">
      <c r="A172">
        <v>402020</v>
      </c>
      <c r="B172" t="s">
        <v>348</v>
      </c>
      <c r="C172" t="s">
        <v>349</v>
      </c>
    </row>
    <row r="173" customFormat="1" spans="1:3">
      <c r="A173">
        <v>402030</v>
      </c>
      <c r="B173" t="s">
        <v>350</v>
      </c>
      <c r="C173" s="3" t="s">
        <v>344</v>
      </c>
    </row>
    <row r="174" customFormat="1" spans="1:3">
      <c r="A174">
        <v>402040</v>
      </c>
      <c r="B174" t="s">
        <v>351</v>
      </c>
      <c r="C174" s="4" t="s">
        <v>352</v>
      </c>
    </row>
    <row r="175" customFormat="1" spans="1:3">
      <c r="A175">
        <v>402050</v>
      </c>
      <c r="B175" t="s">
        <v>353</v>
      </c>
      <c r="C175" s="3" t="s">
        <v>344</v>
      </c>
    </row>
    <row r="176" customFormat="1" spans="1:3">
      <c r="A176">
        <v>402060</v>
      </c>
      <c r="B176" t="s">
        <v>354</v>
      </c>
      <c r="C176" s="3" t="s">
        <v>335</v>
      </c>
    </row>
    <row r="177" customFormat="1" spans="1:3">
      <c r="A177">
        <v>402070</v>
      </c>
      <c r="B177" t="s">
        <v>355</v>
      </c>
      <c r="C177" s="3" t="s">
        <v>356</v>
      </c>
    </row>
    <row r="178" customFormat="1" spans="1:3">
      <c r="A178">
        <v>402080</v>
      </c>
      <c r="B178" t="s">
        <v>357</v>
      </c>
      <c r="C178" s="3" t="s">
        <v>358</v>
      </c>
    </row>
    <row r="179" customFormat="1" spans="1:3">
      <c r="A179">
        <v>403010</v>
      </c>
      <c r="B179" t="s">
        <v>359</v>
      </c>
      <c r="C179" s="3" t="s">
        <v>335</v>
      </c>
    </row>
    <row r="180" customFormat="1" spans="1:3">
      <c r="A180">
        <v>403020</v>
      </c>
      <c r="B180" t="s">
        <v>360</v>
      </c>
      <c r="C180" s="3" t="s">
        <v>361</v>
      </c>
    </row>
    <row r="181" customFormat="1" spans="1:3">
      <c r="A181">
        <v>403030</v>
      </c>
      <c r="B181" t="s">
        <v>362</v>
      </c>
      <c r="C181" s="4" t="s">
        <v>363</v>
      </c>
    </row>
    <row r="182" customFormat="1" spans="1:3">
      <c r="A182">
        <v>403040</v>
      </c>
      <c r="B182" t="s">
        <v>364</v>
      </c>
      <c r="C182" s="3" t="s">
        <v>365</v>
      </c>
    </row>
    <row r="183" customFormat="1" spans="1:3">
      <c r="A183">
        <v>403050</v>
      </c>
      <c r="B183" t="s">
        <v>366</v>
      </c>
      <c r="C183" s="3" t="s">
        <v>367</v>
      </c>
    </row>
    <row r="184" customFormat="1" spans="1:3">
      <c r="A184">
        <v>403060</v>
      </c>
      <c r="B184" t="s">
        <v>368</v>
      </c>
      <c r="C184" s="4" t="s">
        <v>369</v>
      </c>
    </row>
    <row r="185" customFormat="1" spans="1:3">
      <c r="A185">
        <v>403070</v>
      </c>
      <c r="B185" t="s">
        <v>370</v>
      </c>
      <c r="C185" s="4" t="s">
        <v>371</v>
      </c>
    </row>
    <row r="186" customFormat="1" spans="1:3">
      <c r="A186">
        <v>403080</v>
      </c>
      <c r="B186" t="s">
        <v>372</v>
      </c>
      <c r="C186" s="3" t="s">
        <v>373</v>
      </c>
    </row>
    <row r="187" customFormat="1" spans="1:3">
      <c r="A187">
        <v>404010</v>
      </c>
      <c r="B187" t="s">
        <v>374</v>
      </c>
      <c r="C187" s="3" t="s">
        <v>335</v>
      </c>
    </row>
    <row r="188" customFormat="1" spans="1:3">
      <c r="A188">
        <v>404020</v>
      </c>
      <c r="B188" t="s">
        <v>375</v>
      </c>
      <c r="C188" s="3" t="s">
        <v>335</v>
      </c>
    </row>
    <row r="189" customFormat="1" spans="1:3">
      <c r="A189">
        <v>404030</v>
      </c>
      <c r="B189" t="s">
        <v>376</v>
      </c>
      <c r="C189" s="3" t="s">
        <v>377</v>
      </c>
    </row>
    <row r="190" customFormat="1" spans="1:3">
      <c r="A190">
        <v>404040</v>
      </c>
      <c r="B190" t="s">
        <v>378</v>
      </c>
      <c r="C190" s="3" t="s">
        <v>379</v>
      </c>
    </row>
    <row r="191" customFormat="1" spans="1:3">
      <c r="A191">
        <v>404050</v>
      </c>
      <c r="B191" t="s">
        <v>380</v>
      </c>
      <c r="C191" s="4" t="s">
        <v>381</v>
      </c>
    </row>
    <row r="192" customFormat="1" spans="1:3">
      <c r="A192">
        <v>404060</v>
      </c>
      <c r="B192" t="s">
        <v>382</v>
      </c>
      <c r="C192" s="3" t="s">
        <v>344</v>
      </c>
    </row>
    <row r="193" customFormat="1" spans="1:3">
      <c r="A193">
        <v>404070</v>
      </c>
      <c r="B193" t="s">
        <v>383</v>
      </c>
      <c r="C193" s="3" t="s">
        <v>384</v>
      </c>
    </row>
    <row r="194" customFormat="1" spans="1:3">
      <c r="A194">
        <v>404080</v>
      </c>
      <c r="B194" t="s">
        <v>385</v>
      </c>
      <c r="C194" s="3" t="s">
        <v>344</v>
      </c>
    </row>
    <row r="195" customFormat="1" spans="1:3">
      <c r="A195">
        <v>405010</v>
      </c>
      <c r="B195" t="s">
        <v>386</v>
      </c>
      <c r="C195" s="3" t="s">
        <v>335</v>
      </c>
    </row>
    <row r="196" customFormat="1" spans="1:3">
      <c r="A196">
        <v>405020</v>
      </c>
      <c r="B196" t="s">
        <v>387</v>
      </c>
      <c r="C196" s="3" t="s">
        <v>335</v>
      </c>
    </row>
    <row r="197" customFormat="1" spans="1:3">
      <c r="A197">
        <v>405030</v>
      </c>
      <c r="B197" t="s">
        <v>388</v>
      </c>
      <c r="C197" s="3" t="s">
        <v>379</v>
      </c>
    </row>
    <row r="198" customFormat="1" spans="1:3">
      <c r="A198">
        <v>405040</v>
      </c>
      <c r="B198" t="s">
        <v>389</v>
      </c>
      <c r="C198" s="3" t="s">
        <v>390</v>
      </c>
    </row>
    <row r="199" customFormat="1" spans="1:3">
      <c r="A199">
        <v>405050</v>
      </c>
      <c r="B199" t="s">
        <v>391</v>
      </c>
      <c r="C199" s="3" t="s">
        <v>358</v>
      </c>
    </row>
    <row r="200" customFormat="1" spans="1:3">
      <c r="A200">
        <v>405060</v>
      </c>
      <c r="B200" t="s">
        <v>392</v>
      </c>
      <c r="C200" s="3" t="s">
        <v>393</v>
      </c>
    </row>
    <row r="201" customFormat="1" spans="1:3">
      <c r="A201">
        <v>405070</v>
      </c>
      <c r="B201" t="s">
        <v>394</v>
      </c>
      <c r="C201" s="4" t="s">
        <v>395</v>
      </c>
    </row>
    <row r="202" customFormat="1" spans="1:3">
      <c r="A202">
        <v>405080</v>
      </c>
      <c r="B202" t="s">
        <v>396</v>
      </c>
      <c r="C202" s="3" t="s">
        <v>397</v>
      </c>
    </row>
    <row r="203" customFormat="1" spans="1:3">
      <c r="A203">
        <v>411010</v>
      </c>
      <c r="B203" t="s">
        <v>398</v>
      </c>
      <c r="C203" s="4" t="s">
        <v>399</v>
      </c>
    </row>
    <row r="204" customFormat="1" spans="1:3">
      <c r="A204">
        <v>411020</v>
      </c>
      <c r="B204" t="s">
        <v>400</v>
      </c>
      <c r="C204" s="4" t="s">
        <v>399</v>
      </c>
    </row>
    <row r="205" customFormat="1" spans="1:3">
      <c r="A205">
        <v>411030</v>
      </c>
      <c r="B205" t="s">
        <v>401</v>
      </c>
      <c r="C205" s="4" t="s">
        <v>402</v>
      </c>
    </row>
    <row r="206" customFormat="1" spans="1:3">
      <c r="A206">
        <v>411040</v>
      </c>
      <c r="B206" t="s">
        <v>403</v>
      </c>
      <c r="C206" s="4" t="s">
        <v>344</v>
      </c>
    </row>
    <row r="207" customFormat="1" spans="1:3">
      <c r="A207">
        <v>411050</v>
      </c>
      <c r="B207" t="s">
        <v>404</v>
      </c>
      <c r="C207" s="4" t="s">
        <v>381</v>
      </c>
    </row>
    <row r="208" customFormat="1" spans="1:3">
      <c r="A208">
        <v>411060</v>
      </c>
      <c r="B208" t="s">
        <v>405</v>
      </c>
      <c r="C208" s="4" t="s">
        <v>381</v>
      </c>
    </row>
    <row r="209" customFormat="1" spans="1:3">
      <c r="A209">
        <v>411070</v>
      </c>
      <c r="B209" t="s">
        <v>406</v>
      </c>
      <c r="C209" s="4" t="s">
        <v>399</v>
      </c>
    </row>
    <row r="210" customFormat="1" spans="1:3">
      <c r="A210">
        <v>411080</v>
      </c>
      <c r="B210" t="s">
        <v>407</v>
      </c>
      <c r="C210" s="4" t="s">
        <v>399</v>
      </c>
    </row>
    <row r="211" customFormat="1" spans="1:3">
      <c r="A211">
        <v>411090</v>
      </c>
      <c r="B211" t="s">
        <v>408</v>
      </c>
      <c r="C211" s="4" t="s">
        <v>409</v>
      </c>
    </row>
    <row r="212" customFormat="1" spans="1:3">
      <c r="A212">
        <v>412010</v>
      </c>
      <c r="B212" t="s">
        <v>410</v>
      </c>
      <c r="C212" t="s">
        <v>411</v>
      </c>
    </row>
    <row r="213" customFormat="1" spans="1:3">
      <c r="A213">
        <v>412020</v>
      </c>
      <c r="B213" t="s">
        <v>412</v>
      </c>
      <c r="C213" s="4" t="s">
        <v>349</v>
      </c>
    </row>
    <row r="214" customFormat="1" spans="1:3">
      <c r="A214">
        <v>412030</v>
      </c>
      <c r="B214" t="s">
        <v>413</v>
      </c>
      <c r="C214" s="4" t="s">
        <v>414</v>
      </c>
    </row>
    <row r="215" customFormat="1" spans="1:3">
      <c r="A215">
        <v>412040</v>
      </c>
      <c r="B215" t="s">
        <v>415</v>
      </c>
      <c r="C215" s="4" t="s">
        <v>416</v>
      </c>
    </row>
    <row r="216" customFormat="1" spans="1:3">
      <c r="A216">
        <v>412050</v>
      </c>
      <c r="B216" t="s">
        <v>417</v>
      </c>
      <c r="C216" s="4" t="s">
        <v>352</v>
      </c>
    </row>
    <row r="217" customFormat="1" spans="1:3">
      <c r="A217">
        <v>412060</v>
      </c>
      <c r="B217" t="s">
        <v>418</v>
      </c>
      <c r="C217" s="3" t="s">
        <v>335</v>
      </c>
    </row>
    <row r="218" customFormat="1" spans="1:3">
      <c r="A218">
        <v>412070</v>
      </c>
      <c r="B218" t="s">
        <v>419</v>
      </c>
      <c r="C218" s="4" t="s">
        <v>399</v>
      </c>
    </row>
    <row r="219" customFormat="1" spans="1:3">
      <c r="A219">
        <v>412080</v>
      </c>
      <c r="B219" t="s">
        <v>420</v>
      </c>
      <c r="C219" s="3" t="s">
        <v>335</v>
      </c>
    </row>
    <row r="220" customFormat="1" spans="1:3">
      <c r="A220">
        <v>412090</v>
      </c>
      <c r="B220" t="s">
        <v>421</v>
      </c>
      <c r="C220" s="4" t="s">
        <v>422</v>
      </c>
    </row>
    <row r="221" customFormat="1" spans="1:3">
      <c r="A221">
        <v>413010</v>
      </c>
      <c r="B221" t="s">
        <v>423</v>
      </c>
      <c r="C221" s="4" t="s">
        <v>363</v>
      </c>
    </row>
    <row r="222" customFormat="1" spans="1:3">
      <c r="A222">
        <v>413020</v>
      </c>
      <c r="B222" t="s">
        <v>424</v>
      </c>
      <c r="C222" s="3" t="s">
        <v>365</v>
      </c>
    </row>
    <row r="223" customFormat="1" spans="1:3">
      <c r="A223">
        <v>413030</v>
      </c>
      <c r="B223" t="s">
        <v>425</v>
      </c>
      <c r="C223" s="3" t="s">
        <v>344</v>
      </c>
    </row>
    <row r="224" customFormat="1" spans="1:3">
      <c r="A224">
        <v>413040</v>
      </c>
      <c r="B224" t="s">
        <v>426</v>
      </c>
      <c r="C224" s="3" t="s">
        <v>365</v>
      </c>
    </row>
    <row r="225" customFormat="1" spans="1:3">
      <c r="A225">
        <v>413050</v>
      </c>
      <c r="B225" t="s">
        <v>427</v>
      </c>
      <c r="C225" s="3" t="s">
        <v>344</v>
      </c>
    </row>
    <row r="226" customFormat="1" spans="1:3">
      <c r="A226">
        <v>413060</v>
      </c>
      <c r="B226" t="s">
        <v>428</v>
      </c>
      <c r="C226" s="3" t="s">
        <v>344</v>
      </c>
    </row>
    <row r="227" customFormat="1" spans="1:3">
      <c r="A227">
        <v>413070</v>
      </c>
      <c r="B227" t="s">
        <v>429</v>
      </c>
      <c r="C227" s="4" t="s">
        <v>430</v>
      </c>
    </row>
    <row r="228" customFormat="1" spans="1:3">
      <c r="A228">
        <v>413080</v>
      </c>
      <c r="B228" t="s">
        <v>431</v>
      </c>
      <c r="C228" s="3" t="s">
        <v>379</v>
      </c>
    </row>
    <row r="229" customFormat="1" spans="1:3">
      <c r="A229">
        <v>413090</v>
      </c>
      <c r="B229" t="s">
        <v>432</v>
      </c>
      <c r="C229" s="3" t="s">
        <v>433</v>
      </c>
    </row>
    <row r="230" customFormat="1" spans="1:3">
      <c r="A230">
        <v>414010</v>
      </c>
      <c r="B230" t="s">
        <v>434</v>
      </c>
      <c r="C230" s="3" t="s">
        <v>435</v>
      </c>
    </row>
    <row r="231" customFormat="1" spans="1:3">
      <c r="A231">
        <v>414020</v>
      </c>
      <c r="B231" t="s">
        <v>436</v>
      </c>
      <c r="C231" s="3" t="s">
        <v>437</v>
      </c>
    </row>
    <row r="232" customFormat="1" spans="1:3">
      <c r="A232">
        <v>414030</v>
      </c>
      <c r="B232" t="s">
        <v>438</v>
      </c>
      <c r="C232" s="3" t="s">
        <v>356</v>
      </c>
    </row>
    <row r="233" customFormat="1" spans="1:3">
      <c r="A233">
        <v>414040</v>
      </c>
      <c r="B233" t="s">
        <v>439</v>
      </c>
      <c r="C233" s="3" t="s">
        <v>384</v>
      </c>
    </row>
    <row r="234" customFormat="1" spans="1:3">
      <c r="A234">
        <v>414050</v>
      </c>
      <c r="B234" t="s">
        <v>440</v>
      </c>
      <c r="C234" s="3" t="s">
        <v>441</v>
      </c>
    </row>
    <row r="235" customFormat="1" spans="1:3">
      <c r="A235">
        <v>414060</v>
      </c>
      <c r="B235" t="s">
        <v>442</v>
      </c>
      <c r="C235" s="4" t="s">
        <v>381</v>
      </c>
    </row>
    <row r="236" customFormat="1" spans="1:3">
      <c r="A236">
        <v>414070</v>
      </c>
      <c r="B236" t="s">
        <v>443</v>
      </c>
      <c r="C236" s="4" t="s">
        <v>444</v>
      </c>
    </row>
    <row r="237" customFormat="1" spans="1:3">
      <c r="A237">
        <v>414080</v>
      </c>
      <c r="B237" t="s">
        <v>445</v>
      </c>
      <c r="C237" s="3" t="s">
        <v>384</v>
      </c>
    </row>
    <row r="238" customFormat="1" spans="1:3">
      <c r="A238">
        <v>414090</v>
      </c>
      <c r="B238" t="s">
        <v>446</v>
      </c>
      <c r="C238" s="3" t="s">
        <v>344</v>
      </c>
    </row>
    <row r="239" customFormat="1" spans="1:3">
      <c r="A239">
        <v>415010</v>
      </c>
      <c r="B239" t="s">
        <v>447</v>
      </c>
      <c r="C239" s="3" t="s">
        <v>448</v>
      </c>
    </row>
    <row r="240" customFormat="1" spans="1:3">
      <c r="A240">
        <v>415020</v>
      </c>
      <c r="B240" t="s">
        <v>449</v>
      </c>
      <c r="C240" s="3" t="s">
        <v>448</v>
      </c>
    </row>
    <row r="241" customFormat="1" spans="1:3">
      <c r="A241">
        <v>415030</v>
      </c>
      <c r="B241" t="s">
        <v>450</v>
      </c>
      <c r="C241" s="4" t="s">
        <v>381</v>
      </c>
    </row>
    <row r="242" customFormat="1" spans="1:3">
      <c r="A242">
        <v>415040</v>
      </c>
      <c r="B242" t="s">
        <v>451</v>
      </c>
      <c r="C242" s="4" t="s">
        <v>452</v>
      </c>
    </row>
    <row r="243" customFormat="1" spans="1:3">
      <c r="A243">
        <v>415050</v>
      </c>
      <c r="B243" t="s">
        <v>453</v>
      </c>
      <c r="C243" s="3" t="s">
        <v>379</v>
      </c>
    </row>
    <row r="244" customFormat="1" spans="1:3">
      <c r="A244">
        <v>415060</v>
      </c>
      <c r="B244" t="s">
        <v>454</v>
      </c>
      <c r="C244" s="3" t="s">
        <v>379</v>
      </c>
    </row>
    <row r="245" customFormat="1" spans="1:3">
      <c r="A245">
        <v>415070</v>
      </c>
      <c r="B245" t="s">
        <v>455</v>
      </c>
      <c r="C245" s="3" t="s">
        <v>448</v>
      </c>
    </row>
    <row r="246" customFormat="1" spans="1:3">
      <c r="A246">
        <v>415080</v>
      </c>
      <c r="B246" t="s">
        <v>456</v>
      </c>
      <c r="C246" s="3" t="s">
        <v>457</v>
      </c>
    </row>
    <row r="247" customFormat="1" spans="1:3">
      <c r="A247">
        <v>415090</v>
      </c>
      <c r="B247" t="s">
        <v>458</v>
      </c>
      <c r="C247" s="3" t="s">
        <v>459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9"/>
  <sheetViews>
    <sheetView topLeftCell="L1" workbookViewId="0">
      <selection activeCell="Z15" sqref="Z15"/>
    </sheetView>
  </sheetViews>
  <sheetFormatPr defaultColWidth="8.72727272727273" defaultRowHeight="13"/>
  <cols>
    <col min="3" max="3" width="1.72727272727273" customWidth="1"/>
    <col min="6" max="6" width="1.54545454545455" customWidth="1"/>
    <col min="9" max="9" width="1.63636363636364" customWidth="1"/>
    <col min="12" max="12" width="2.27272727272727" customWidth="1"/>
    <col min="14" max="14" width="15.4545454545455" customWidth="1"/>
    <col min="15" max="15" width="2.54545454545455" customWidth="1"/>
    <col min="18" max="18" width="2.45454545454545" customWidth="1"/>
    <col min="20" max="20" width="10.3636363636364" customWidth="1"/>
    <col min="22" max="22" width="37.4545454545455" customWidth="1"/>
  </cols>
  <sheetData>
    <row r="1" spans="1:25">
      <c r="A1" t="s">
        <v>6</v>
      </c>
      <c r="D1" t="s">
        <v>9</v>
      </c>
      <c r="G1" t="s">
        <v>10</v>
      </c>
      <c r="J1" t="s">
        <v>11</v>
      </c>
      <c r="M1" t="s">
        <v>460</v>
      </c>
      <c r="P1" t="s">
        <v>461</v>
      </c>
      <c r="S1" t="s">
        <v>462</v>
      </c>
      <c r="U1" t="s">
        <v>463</v>
      </c>
      <c r="W1" t="s">
        <v>464</v>
      </c>
      <c r="Y1" t="s">
        <v>25</v>
      </c>
    </row>
    <row r="2" spans="1:29">
      <c r="A2">
        <v>0</v>
      </c>
      <c r="B2" t="s">
        <v>465</v>
      </c>
      <c r="D2">
        <v>0</v>
      </c>
      <c r="E2" t="s">
        <v>465</v>
      </c>
      <c r="G2">
        <v>0</v>
      </c>
      <c r="H2" t="s">
        <v>465</v>
      </c>
      <c r="J2">
        <v>0</v>
      </c>
      <c r="K2" t="s">
        <v>465</v>
      </c>
      <c r="M2">
        <v>0</v>
      </c>
      <c r="N2" t="s">
        <v>465</v>
      </c>
      <c r="P2">
        <v>0</v>
      </c>
      <c r="Q2" t="s">
        <v>466</v>
      </c>
      <c r="U2">
        <v>0</v>
      </c>
      <c r="V2" t="s">
        <v>465</v>
      </c>
      <c r="W2">
        <v>0</v>
      </c>
      <c r="X2" t="s">
        <v>465</v>
      </c>
      <c r="Y2">
        <v>0</v>
      </c>
      <c r="Z2" t="s">
        <v>465</v>
      </c>
      <c r="AB2">
        <v>301</v>
      </c>
      <c r="AC2" t="s">
        <v>467</v>
      </c>
    </row>
    <row r="3" spans="1:29">
      <c r="A3">
        <v>1</v>
      </c>
      <c r="B3" t="s">
        <v>468</v>
      </c>
      <c r="D3">
        <v>1</v>
      </c>
      <c r="E3" t="s">
        <v>469</v>
      </c>
      <c r="G3">
        <v>1</v>
      </c>
      <c r="H3" t="s">
        <v>470</v>
      </c>
      <c r="J3">
        <v>1</v>
      </c>
      <c r="K3" t="s">
        <v>471</v>
      </c>
      <c r="M3">
        <v>1</v>
      </c>
      <c r="N3" t="s">
        <v>468</v>
      </c>
      <c r="P3">
        <v>1010</v>
      </c>
      <c r="Q3" t="s">
        <v>472</v>
      </c>
      <c r="U3">
        <v>1010</v>
      </c>
      <c r="V3" t="s">
        <v>473</v>
      </c>
      <c r="W3">
        <v>1</v>
      </c>
      <c r="X3" t="s">
        <v>474</v>
      </c>
      <c r="Y3">
        <v>1</v>
      </c>
      <c r="Z3" t="s">
        <v>475</v>
      </c>
      <c r="AB3">
        <v>302</v>
      </c>
      <c r="AC3" t="s">
        <v>476</v>
      </c>
    </row>
    <row r="4" spans="1:29">
      <c r="A4">
        <v>2</v>
      </c>
      <c r="B4" t="s">
        <v>477</v>
      </c>
      <c r="D4">
        <v>2</v>
      </c>
      <c r="E4" t="s">
        <v>478</v>
      </c>
      <c r="G4">
        <v>2</v>
      </c>
      <c r="H4" t="s">
        <v>479</v>
      </c>
      <c r="J4">
        <v>2</v>
      </c>
      <c r="K4" t="s">
        <v>480</v>
      </c>
      <c r="M4">
        <v>2</v>
      </c>
      <c r="N4" t="s">
        <v>477</v>
      </c>
      <c r="P4">
        <v>1020</v>
      </c>
      <c r="Q4" t="s">
        <v>481</v>
      </c>
      <c r="U4">
        <v>1020</v>
      </c>
      <c r="V4" t="s">
        <v>482</v>
      </c>
      <c r="W4">
        <v>2</v>
      </c>
      <c r="X4" t="s">
        <v>483</v>
      </c>
      <c r="Y4">
        <v>2</v>
      </c>
      <c r="Z4" t="s">
        <v>484</v>
      </c>
      <c r="AB4" s="2">
        <v>303</v>
      </c>
      <c r="AC4" s="2" t="s">
        <v>485</v>
      </c>
    </row>
    <row r="5" spans="1:29">
      <c r="A5">
        <v>3</v>
      </c>
      <c r="B5" t="s">
        <v>486</v>
      </c>
      <c r="D5">
        <v>3</v>
      </c>
      <c r="E5" t="s">
        <v>487</v>
      </c>
      <c r="G5">
        <v>3</v>
      </c>
      <c r="H5" t="s">
        <v>488</v>
      </c>
      <c r="J5">
        <v>3</v>
      </c>
      <c r="K5" t="s">
        <v>489</v>
      </c>
      <c r="M5">
        <v>3</v>
      </c>
      <c r="N5" t="s">
        <v>486</v>
      </c>
      <c r="P5">
        <v>1030</v>
      </c>
      <c r="Q5" t="s">
        <v>490</v>
      </c>
      <c r="U5">
        <v>1030</v>
      </c>
      <c r="V5" t="s">
        <v>491</v>
      </c>
      <c r="W5">
        <v>3</v>
      </c>
      <c r="X5" t="s">
        <v>492</v>
      </c>
      <c r="Y5">
        <v>3</v>
      </c>
      <c r="Z5" t="s">
        <v>493</v>
      </c>
      <c r="AB5">
        <v>304</v>
      </c>
      <c r="AC5" t="s">
        <v>494</v>
      </c>
    </row>
    <row r="6" spans="4:29">
      <c r="D6">
        <v>4</v>
      </c>
      <c r="E6" t="s">
        <v>483</v>
      </c>
      <c r="G6">
        <v>4</v>
      </c>
      <c r="H6" t="s">
        <v>31</v>
      </c>
      <c r="J6">
        <v>4</v>
      </c>
      <c r="K6" t="s">
        <v>495</v>
      </c>
      <c r="M6">
        <v>4</v>
      </c>
      <c r="N6" t="s">
        <v>495</v>
      </c>
      <c r="P6">
        <v>1040</v>
      </c>
      <c r="Q6" t="s">
        <v>496</v>
      </c>
      <c r="U6">
        <v>1040</v>
      </c>
      <c r="V6" t="s">
        <v>497</v>
      </c>
      <c r="W6">
        <v>4</v>
      </c>
      <c r="X6" t="s">
        <v>498</v>
      </c>
      <c r="Y6">
        <v>4</v>
      </c>
      <c r="Z6" t="s">
        <v>499</v>
      </c>
      <c r="AB6">
        <v>305</v>
      </c>
      <c r="AC6" t="s">
        <v>500</v>
      </c>
    </row>
    <row r="7" spans="4:29">
      <c r="D7">
        <v>5</v>
      </c>
      <c r="E7" t="s">
        <v>501</v>
      </c>
      <c r="G7">
        <v>5</v>
      </c>
      <c r="H7" t="s">
        <v>502</v>
      </c>
      <c r="J7">
        <v>6</v>
      </c>
      <c r="K7" t="s">
        <v>503</v>
      </c>
      <c r="M7">
        <v>5</v>
      </c>
      <c r="N7" t="s">
        <v>504</v>
      </c>
      <c r="P7">
        <v>1050</v>
      </c>
      <c r="Q7" t="s">
        <v>505</v>
      </c>
      <c r="U7">
        <v>1050</v>
      </c>
      <c r="V7" t="s">
        <v>506</v>
      </c>
      <c r="W7">
        <v>5</v>
      </c>
      <c r="X7" t="s">
        <v>507</v>
      </c>
      <c r="Y7">
        <v>5</v>
      </c>
      <c r="Z7" t="s">
        <v>508</v>
      </c>
      <c r="AB7">
        <v>306</v>
      </c>
      <c r="AC7" t="s">
        <v>509</v>
      </c>
    </row>
    <row r="8" spans="7:29">
      <c r="G8">
        <v>6</v>
      </c>
      <c r="H8" t="s">
        <v>510</v>
      </c>
      <c r="J8">
        <v>7</v>
      </c>
      <c r="K8" t="s">
        <v>511</v>
      </c>
      <c r="M8">
        <v>11</v>
      </c>
      <c r="N8" t="s">
        <v>512</v>
      </c>
      <c r="P8">
        <v>1060</v>
      </c>
      <c r="Q8" t="s">
        <v>513</v>
      </c>
      <c r="U8">
        <v>1060</v>
      </c>
      <c r="V8" t="s">
        <v>514</v>
      </c>
      <c r="W8">
        <v>6</v>
      </c>
      <c r="X8" t="s">
        <v>515</v>
      </c>
      <c r="Y8">
        <v>11</v>
      </c>
      <c r="Z8" t="s">
        <v>516</v>
      </c>
      <c r="AB8">
        <v>307</v>
      </c>
      <c r="AC8" t="s">
        <v>517</v>
      </c>
    </row>
    <row r="9" spans="7:29">
      <c r="G9">
        <v>11</v>
      </c>
      <c r="H9" t="s">
        <v>518</v>
      </c>
      <c r="J9">
        <v>11</v>
      </c>
      <c r="K9" t="s">
        <v>519</v>
      </c>
      <c r="M9">
        <v>12</v>
      </c>
      <c r="N9" s="1" t="s">
        <v>520</v>
      </c>
      <c r="P9">
        <v>1070</v>
      </c>
      <c r="Q9" t="s">
        <v>521</v>
      </c>
      <c r="U9">
        <v>1130</v>
      </c>
      <c r="V9" t="s">
        <v>522</v>
      </c>
      <c r="W9">
        <v>7</v>
      </c>
      <c r="X9" t="s">
        <v>523</v>
      </c>
      <c r="Y9">
        <v>20</v>
      </c>
      <c r="Z9" t="s">
        <v>524</v>
      </c>
      <c r="AB9">
        <v>308</v>
      </c>
      <c r="AC9" t="s">
        <v>525</v>
      </c>
    </row>
    <row r="10" spans="7:29">
      <c r="G10">
        <v>12</v>
      </c>
      <c r="H10" t="s">
        <v>526</v>
      </c>
      <c r="J10">
        <v>101</v>
      </c>
      <c r="K10" t="s">
        <v>527</v>
      </c>
      <c r="M10">
        <v>13</v>
      </c>
      <c r="N10" s="1" t="s">
        <v>528</v>
      </c>
      <c r="P10">
        <v>1080</v>
      </c>
      <c r="Q10" t="s">
        <v>529</v>
      </c>
      <c r="U10">
        <v>1140</v>
      </c>
      <c r="V10" t="s">
        <v>530</v>
      </c>
      <c r="W10">
        <v>10</v>
      </c>
      <c r="X10" t="s">
        <v>531</v>
      </c>
      <c r="Y10">
        <v>24</v>
      </c>
      <c r="Z10" t="s">
        <v>532</v>
      </c>
      <c r="AB10">
        <v>309</v>
      </c>
      <c r="AC10" t="s">
        <v>533</v>
      </c>
    </row>
    <row r="11" spans="13:29">
      <c r="M11">
        <v>21</v>
      </c>
      <c r="N11" t="s">
        <v>534</v>
      </c>
      <c r="P11">
        <v>1090</v>
      </c>
      <c r="Q11" t="s">
        <v>535</v>
      </c>
      <c r="U11">
        <v>1150</v>
      </c>
      <c r="V11" t="s">
        <v>536</v>
      </c>
      <c r="W11">
        <v>11</v>
      </c>
      <c r="X11" t="s">
        <v>31</v>
      </c>
      <c r="Y11">
        <v>31</v>
      </c>
      <c r="Z11" t="s">
        <v>537</v>
      </c>
      <c r="AB11">
        <v>310</v>
      </c>
      <c r="AC11" t="s">
        <v>538</v>
      </c>
    </row>
    <row r="12" spans="13:29">
      <c r="M12">
        <v>31</v>
      </c>
      <c r="N12" t="s">
        <v>539</v>
      </c>
      <c r="P12">
        <v>1100</v>
      </c>
      <c r="Q12" t="s">
        <v>540</v>
      </c>
      <c r="U12">
        <v>1160</v>
      </c>
      <c r="V12" t="s">
        <v>541</v>
      </c>
      <c r="W12">
        <v>99</v>
      </c>
      <c r="X12" t="s">
        <v>542</v>
      </c>
      <c r="Y12">
        <v>32</v>
      </c>
      <c r="Z12" t="s">
        <v>543</v>
      </c>
      <c r="AB12">
        <v>311</v>
      </c>
      <c r="AC12" t="s">
        <v>544</v>
      </c>
    </row>
    <row r="13" spans="13:29">
      <c r="M13">
        <v>32</v>
      </c>
      <c r="N13" t="s">
        <v>545</v>
      </c>
      <c r="P13">
        <v>1110</v>
      </c>
      <c r="Q13" t="s">
        <v>546</v>
      </c>
      <c r="U13">
        <v>2010</v>
      </c>
      <c r="V13" t="s">
        <v>547</v>
      </c>
      <c r="W13" t="s">
        <v>548</v>
      </c>
      <c r="Y13">
        <v>33</v>
      </c>
      <c r="Z13" t="s">
        <v>549</v>
      </c>
      <c r="AB13">
        <v>401</v>
      </c>
      <c r="AC13" t="s">
        <v>550</v>
      </c>
    </row>
    <row r="14" spans="16:29">
      <c r="P14">
        <v>2010</v>
      </c>
      <c r="Q14" t="s">
        <v>551</v>
      </c>
      <c r="U14">
        <v>3010</v>
      </c>
      <c r="V14" t="s">
        <v>552</v>
      </c>
      <c r="Y14">
        <v>41</v>
      </c>
      <c r="Z14" t="s">
        <v>553</v>
      </c>
      <c r="AB14">
        <v>402</v>
      </c>
      <c r="AC14" t="s">
        <v>554</v>
      </c>
    </row>
    <row r="15" spans="16:29">
      <c r="P15">
        <v>2020</v>
      </c>
      <c r="Q15" t="s">
        <v>555</v>
      </c>
      <c r="U15">
        <v>3020</v>
      </c>
      <c r="V15" t="s">
        <v>556</v>
      </c>
      <c r="Y15">
        <v>51</v>
      </c>
      <c r="Z15" t="s">
        <v>557</v>
      </c>
      <c r="AB15">
        <v>403</v>
      </c>
      <c r="AC15" t="s">
        <v>558</v>
      </c>
    </row>
    <row r="16" spans="16:29">
      <c r="P16">
        <v>2030</v>
      </c>
      <c r="Q16" t="s">
        <v>559</v>
      </c>
      <c r="U16">
        <v>3030</v>
      </c>
      <c r="V16" t="s">
        <v>560</v>
      </c>
      <c r="Y16">
        <v>52</v>
      </c>
      <c r="Z16" t="s">
        <v>561</v>
      </c>
      <c r="AB16">
        <v>404</v>
      </c>
      <c r="AC16" t="s">
        <v>562</v>
      </c>
    </row>
    <row r="17" spans="16:29">
      <c r="P17">
        <v>2040</v>
      </c>
      <c r="Q17" t="s">
        <v>563</v>
      </c>
      <c r="U17">
        <v>3040</v>
      </c>
      <c r="V17" t="s">
        <v>564</v>
      </c>
      <c r="AB17">
        <v>501</v>
      </c>
      <c r="AC17" t="s">
        <v>565</v>
      </c>
    </row>
    <row r="18" spans="16:29">
      <c r="P18">
        <v>2110</v>
      </c>
      <c r="Q18" t="s">
        <v>566</v>
      </c>
      <c r="U18">
        <v>3050</v>
      </c>
      <c r="V18" t="s">
        <v>567</v>
      </c>
      <c r="AB18">
        <v>502</v>
      </c>
      <c r="AC18" t="s">
        <v>568</v>
      </c>
    </row>
    <row r="19" spans="16:29">
      <c r="P19">
        <v>2120</v>
      </c>
      <c r="Q19" t="s">
        <v>569</v>
      </c>
      <c r="U19">
        <v>3060</v>
      </c>
      <c r="V19" t="s">
        <v>570</v>
      </c>
      <c r="AB19">
        <v>503</v>
      </c>
      <c r="AC19" t="s">
        <v>571</v>
      </c>
    </row>
    <row r="20" spans="16:29">
      <c r="P20">
        <v>2130</v>
      </c>
      <c r="Q20" t="s">
        <v>572</v>
      </c>
      <c r="U20">
        <v>4010</v>
      </c>
      <c r="V20" t="s">
        <v>573</v>
      </c>
      <c r="AB20">
        <v>504</v>
      </c>
      <c r="AC20" t="s">
        <v>574</v>
      </c>
    </row>
    <row r="21" spans="16:29">
      <c r="P21">
        <v>3010</v>
      </c>
      <c r="Q21" t="s">
        <v>575</v>
      </c>
      <c r="U21">
        <v>4020</v>
      </c>
      <c r="V21" t="s">
        <v>576</v>
      </c>
      <c r="AB21">
        <v>505</v>
      </c>
      <c r="AC21" t="s">
        <v>577</v>
      </c>
    </row>
    <row r="22" spans="16:29">
      <c r="P22">
        <v>3020</v>
      </c>
      <c r="Q22" t="s">
        <v>578</v>
      </c>
      <c r="U22">
        <v>5010</v>
      </c>
      <c r="V22" t="s">
        <v>579</v>
      </c>
      <c r="AB22">
        <v>506</v>
      </c>
      <c r="AC22" t="s">
        <v>580</v>
      </c>
    </row>
    <row r="23" spans="16:29">
      <c r="P23">
        <v>3030</v>
      </c>
      <c r="Q23" t="s">
        <v>581</v>
      </c>
      <c r="U23">
        <v>5020</v>
      </c>
      <c r="V23" t="s">
        <v>582</v>
      </c>
      <c r="AB23">
        <v>507</v>
      </c>
      <c r="AC23" t="s">
        <v>583</v>
      </c>
    </row>
    <row r="24" spans="16:29">
      <c r="P24">
        <v>3040</v>
      </c>
      <c r="Q24" t="s">
        <v>584</v>
      </c>
      <c r="U24">
        <v>5030</v>
      </c>
      <c r="V24" t="s">
        <v>585</v>
      </c>
      <c r="AB24">
        <v>508</v>
      </c>
      <c r="AC24" t="s">
        <v>550</v>
      </c>
    </row>
    <row r="25" spans="16:29">
      <c r="P25">
        <v>3050</v>
      </c>
      <c r="Q25" t="s">
        <v>586</v>
      </c>
      <c r="U25">
        <v>5040</v>
      </c>
      <c r="V25" t="s">
        <v>587</v>
      </c>
      <c r="AB25">
        <v>509</v>
      </c>
      <c r="AC25" t="s">
        <v>558</v>
      </c>
    </row>
    <row r="26" spans="16:22">
      <c r="P26">
        <v>3060</v>
      </c>
      <c r="Q26" t="s">
        <v>588</v>
      </c>
      <c r="U26">
        <v>5050</v>
      </c>
      <c r="V26" t="s">
        <v>589</v>
      </c>
    </row>
    <row r="27" spans="16:22">
      <c r="P27">
        <v>3070</v>
      </c>
      <c r="Q27" t="s">
        <v>590</v>
      </c>
      <c r="U27">
        <v>5060</v>
      </c>
      <c r="V27" t="s">
        <v>591</v>
      </c>
    </row>
    <row r="28" spans="16:22">
      <c r="P28">
        <v>4010</v>
      </c>
      <c r="Q28" t="s">
        <v>592</v>
      </c>
      <c r="U28">
        <v>5070</v>
      </c>
      <c r="V28" t="s">
        <v>593</v>
      </c>
    </row>
    <row r="29" spans="16:22">
      <c r="P29">
        <v>4020</v>
      </c>
      <c r="Q29" t="s">
        <v>594</v>
      </c>
      <c r="U29">
        <v>5080</v>
      </c>
      <c r="V29" t="s">
        <v>595</v>
      </c>
    </row>
    <row r="30" spans="16:22">
      <c r="P30">
        <v>4030</v>
      </c>
      <c r="Q30" t="s">
        <v>596</v>
      </c>
      <c r="U30">
        <v>5090</v>
      </c>
      <c r="V30" t="s">
        <v>597</v>
      </c>
    </row>
    <row r="31" spans="16:22">
      <c r="P31">
        <v>4040</v>
      </c>
      <c r="Q31" t="s">
        <v>598</v>
      </c>
      <c r="U31">
        <v>5100</v>
      </c>
      <c r="V31" t="s">
        <v>599</v>
      </c>
    </row>
    <row r="32" spans="16:22">
      <c r="P32">
        <v>5010</v>
      </c>
      <c r="Q32" t="s">
        <v>600</v>
      </c>
      <c r="U32">
        <v>5110</v>
      </c>
      <c r="V32" t="s">
        <v>601</v>
      </c>
    </row>
    <row r="33" spans="16:22">
      <c r="P33">
        <v>5011</v>
      </c>
      <c r="Q33" t="s">
        <v>602</v>
      </c>
      <c r="U33">
        <v>5120</v>
      </c>
      <c r="V33" t="s">
        <v>603</v>
      </c>
    </row>
    <row r="34" spans="16:22">
      <c r="P34">
        <v>5012</v>
      </c>
      <c r="Q34" t="s">
        <v>604</v>
      </c>
      <c r="U34">
        <v>5130</v>
      </c>
      <c r="V34" t="s">
        <v>605</v>
      </c>
    </row>
    <row r="35" spans="16:22">
      <c r="P35">
        <v>5020</v>
      </c>
      <c r="Q35" t="s">
        <v>606</v>
      </c>
      <c r="U35">
        <v>5140</v>
      </c>
      <c r="V35" t="s">
        <v>607</v>
      </c>
    </row>
    <row r="36" spans="16:22">
      <c r="P36">
        <v>5030</v>
      </c>
      <c r="Q36" t="s">
        <v>608</v>
      </c>
      <c r="U36">
        <v>6010</v>
      </c>
      <c r="V36" t="s">
        <v>609</v>
      </c>
    </row>
    <row r="37" spans="16:22">
      <c r="P37">
        <v>5040</v>
      </c>
      <c r="Q37" t="s">
        <v>610</v>
      </c>
      <c r="U37">
        <v>6020</v>
      </c>
      <c r="V37" t="s">
        <v>611</v>
      </c>
    </row>
    <row r="38" spans="16:22">
      <c r="P38">
        <v>5050</v>
      </c>
      <c r="Q38" t="s">
        <v>612</v>
      </c>
      <c r="U38">
        <v>6030</v>
      </c>
      <c r="V38" t="s">
        <v>613</v>
      </c>
    </row>
    <row r="39" spans="16:22">
      <c r="P39">
        <v>6010</v>
      </c>
      <c r="Q39" t="s">
        <v>614</v>
      </c>
      <c r="U39">
        <v>6040</v>
      </c>
      <c r="V39" t="s">
        <v>615</v>
      </c>
    </row>
    <row r="40" spans="16:22">
      <c r="P40">
        <v>6020</v>
      </c>
      <c r="Q40" t="s">
        <v>616</v>
      </c>
      <c r="U40">
        <v>6050</v>
      </c>
      <c r="V40" t="s">
        <v>617</v>
      </c>
    </row>
    <row r="41" spans="16:22">
      <c r="P41">
        <v>6030</v>
      </c>
      <c r="Q41" t="s">
        <v>618</v>
      </c>
      <c r="U41">
        <v>6060</v>
      </c>
      <c r="V41" t="s">
        <v>619</v>
      </c>
    </row>
    <row r="42" spans="16:22">
      <c r="P42">
        <v>6040</v>
      </c>
      <c r="Q42" t="s">
        <v>620</v>
      </c>
      <c r="U42">
        <v>6110</v>
      </c>
      <c r="V42" t="s">
        <v>621</v>
      </c>
    </row>
    <row r="43" spans="16:22">
      <c r="P43">
        <v>6050</v>
      </c>
      <c r="Q43" t="s">
        <v>622</v>
      </c>
      <c r="U43">
        <v>6120</v>
      </c>
      <c r="V43" t="s">
        <v>623</v>
      </c>
    </row>
    <row r="44" spans="16:22">
      <c r="P44">
        <v>6060</v>
      </c>
      <c r="Q44" t="s">
        <v>624</v>
      </c>
      <c r="U44">
        <v>6130</v>
      </c>
      <c r="V44" t="s">
        <v>625</v>
      </c>
    </row>
    <row r="45" spans="16:22">
      <c r="P45">
        <v>6070</v>
      </c>
      <c r="Q45" t="s">
        <v>626</v>
      </c>
      <c r="U45">
        <v>6140</v>
      </c>
      <c r="V45" t="s">
        <v>627</v>
      </c>
    </row>
    <row r="46" spans="16:22">
      <c r="P46">
        <v>6080</v>
      </c>
      <c r="Q46" t="s">
        <v>628</v>
      </c>
      <c r="U46">
        <v>6150</v>
      </c>
      <c r="V46" t="s">
        <v>629</v>
      </c>
    </row>
    <row r="47" spans="16:22">
      <c r="P47">
        <v>6100</v>
      </c>
      <c r="Q47" t="s">
        <v>630</v>
      </c>
      <c r="U47">
        <v>6210</v>
      </c>
      <c r="V47" t="s">
        <v>631</v>
      </c>
    </row>
    <row r="48" spans="16:22">
      <c r="P48">
        <v>6210</v>
      </c>
      <c r="Q48" t="s">
        <v>632</v>
      </c>
      <c r="U48">
        <v>6220</v>
      </c>
      <c r="V48" t="s">
        <v>633</v>
      </c>
    </row>
    <row r="49" spans="16:22">
      <c r="P49">
        <v>6310</v>
      </c>
      <c r="Q49" t="s">
        <v>634</v>
      </c>
      <c r="U49">
        <v>6230</v>
      </c>
      <c r="V49" t="s">
        <v>635</v>
      </c>
    </row>
    <row r="50" spans="16:22">
      <c r="P50">
        <v>7010</v>
      </c>
      <c r="Q50" t="s">
        <v>636</v>
      </c>
      <c r="U50">
        <v>6240</v>
      </c>
      <c r="V50" t="s">
        <v>637</v>
      </c>
    </row>
    <row r="51" spans="16:22">
      <c r="P51">
        <v>7020</v>
      </c>
      <c r="Q51" t="s">
        <v>638</v>
      </c>
      <c r="U51">
        <v>6250</v>
      </c>
      <c r="V51" t="s">
        <v>639</v>
      </c>
    </row>
    <row r="52" spans="16:22">
      <c r="P52">
        <v>8010</v>
      </c>
      <c r="Q52" t="s">
        <v>640</v>
      </c>
      <c r="U52">
        <v>6310</v>
      </c>
      <c r="V52" t="s">
        <v>641</v>
      </c>
    </row>
    <row r="53" spans="16:22">
      <c r="P53">
        <v>8020</v>
      </c>
      <c r="Q53" t="s">
        <v>642</v>
      </c>
      <c r="U53">
        <v>6320</v>
      </c>
      <c r="V53" t="s">
        <v>643</v>
      </c>
    </row>
    <row r="54" spans="16:22">
      <c r="P54">
        <v>9010</v>
      </c>
      <c r="Q54" t="s">
        <v>644</v>
      </c>
      <c r="U54">
        <v>6330</v>
      </c>
      <c r="V54" t="s">
        <v>645</v>
      </c>
    </row>
    <row r="55" spans="16:22">
      <c r="P55">
        <v>10010</v>
      </c>
      <c r="Q55" t="s">
        <v>646</v>
      </c>
      <c r="U55">
        <v>6340</v>
      </c>
      <c r="V55" t="s">
        <v>647</v>
      </c>
    </row>
    <row r="56" spans="16:22">
      <c r="P56">
        <v>11010</v>
      </c>
      <c r="Q56" t="s">
        <v>648</v>
      </c>
      <c r="U56">
        <v>6350</v>
      </c>
      <c r="V56" t="s">
        <v>649</v>
      </c>
    </row>
    <row r="57" spans="16:22">
      <c r="P57">
        <v>12010</v>
      </c>
      <c r="Q57" t="s">
        <v>650</v>
      </c>
      <c r="U57">
        <v>7010</v>
      </c>
      <c r="V57" t="s">
        <v>651</v>
      </c>
    </row>
    <row r="58" spans="16:22">
      <c r="P58">
        <v>13010</v>
      </c>
      <c r="Q58" t="s">
        <v>652</v>
      </c>
      <c r="U58">
        <v>7020</v>
      </c>
      <c r="V58" t="s">
        <v>653</v>
      </c>
    </row>
    <row r="59" spans="21:22">
      <c r="U59">
        <v>7030</v>
      </c>
      <c r="V59" t="s">
        <v>654</v>
      </c>
    </row>
    <row r="60" spans="21:22">
      <c r="U60">
        <v>7040</v>
      </c>
      <c r="V60" t="s">
        <v>655</v>
      </c>
    </row>
    <row r="61" spans="21:22">
      <c r="U61">
        <v>7050</v>
      </c>
      <c r="V61" t="s">
        <v>656</v>
      </c>
    </row>
    <row r="62" spans="21:22">
      <c r="U62">
        <v>7060</v>
      </c>
      <c r="V62" t="s">
        <v>657</v>
      </c>
    </row>
    <row r="63" spans="21:22">
      <c r="U63">
        <v>7070</v>
      </c>
      <c r="V63" t="s">
        <v>658</v>
      </c>
    </row>
    <row r="64" spans="21:22">
      <c r="U64">
        <v>8010</v>
      </c>
      <c r="V64" t="s">
        <v>659</v>
      </c>
    </row>
    <row r="65" spans="21:22">
      <c r="U65">
        <v>8020</v>
      </c>
      <c r="V65" t="s">
        <v>660</v>
      </c>
    </row>
    <row r="66" spans="21:22">
      <c r="U66">
        <v>8030</v>
      </c>
      <c r="V66" t="s">
        <v>661</v>
      </c>
    </row>
    <row r="67" spans="21:22">
      <c r="U67">
        <v>8040</v>
      </c>
      <c r="V67" t="s">
        <v>662</v>
      </c>
    </row>
    <row r="68" spans="21:22">
      <c r="U68">
        <v>8050</v>
      </c>
      <c r="V68" t="s">
        <v>663</v>
      </c>
    </row>
    <row r="69" spans="21:22">
      <c r="U69">
        <v>8060</v>
      </c>
      <c r="V69" t="s">
        <v>664</v>
      </c>
    </row>
    <row r="70" spans="21:22">
      <c r="U70">
        <v>9010</v>
      </c>
      <c r="V70" t="s">
        <v>665</v>
      </c>
    </row>
    <row r="71" spans="21:22">
      <c r="U71">
        <v>9020</v>
      </c>
      <c r="V71" t="s">
        <v>666</v>
      </c>
    </row>
    <row r="72" spans="21:22">
      <c r="U72">
        <v>9030</v>
      </c>
      <c r="V72" t="s">
        <v>667</v>
      </c>
    </row>
    <row r="73" spans="21:22">
      <c r="U73">
        <v>9031</v>
      </c>
      <c r="V73" t="s">
        <v>668</v>
      </c>
    </row>
    <row r="74" spans="21:22">
      <c r="U74">
        <v>9040</v>
      </c>
      <c r="V74" t="s">
        <v>669</v>
      </c>
    </row>
    <row r="75" spans="21:22">
      <c r="U75">
        <v>9110</v>
      </c>
      <c r="V75" t="s">
        <v>670</v>
      </c>
    </row>
    <row r="76" spans="21:22">
      <c r="U76">
        <v>9120</v>
      </c>
      <c r="V76" t="s">
        <v>671</v>
      </c>
    </row>
    <row r="77" spans="21:22">
      <c r="U77">
        <v>10010</v>
      </c>
      <c r="V77" t="s">
        <v>672</v>
      </c>
    </row>
    <row r="78" spans="21:22">
      <c r="U78">
        <v>10020</v>
      </c>
      <c r="V78" t="s">
        <v>673</v>
      </c>
    </row>
    <row r="79" spans="21:22">
      <c r="U79">
        <v>10110</v>
      </c>
      <c r="V79" t="s">
        <v>674</v>
      </c>
    </row>
    <row r="80" spans="21:22">
      <c r="U80">
        <v>11010</v>
      </c>
      <c r="V80" t="s">
        <v>675</v>
      </c>
    </row>
    <row r="81" spans="21:22">
      <c r="U81">
        <v>11020</v>
      </c>
      <c r="V81" t="s">
        <v>676</v>
      </c>
    </row>
    <row r="82" spans="21:22">
      <c r="U82">
        <v>12030</v>
      </c>
      <c r="V82" t="s">
        <v>677</v>
      </c>
    </row>
    <row r="83" spans="21:22">
      <c r="U83">
        <v>12040</v>
      </c>
      <c r="V83" t="s">
        <v>678</v>
      </c>
    </row>
    <row r="84" spans="21:22">
      <c r="U84">
        <v>12041</v>
      </c>
      <c r="V84" t="s">
        <v>679</v>
      </c>
    </row>
    <row r="85" spans="21:22">
      <c r="U85">
        <v>12042</v>
      </c>
      <c r="V85" t="s">
        <v>680</v>
      </c>
    </row>
    <row r="86" spans="21:22">
      <c r="U86">
        <v>12043</v>
      </c>
      <c r="V86" t="s">
        <v>681</v>
      </c>
    </row>
    <row r="87" spans="21:22">
      <c r="U87">
        <v>12050</v>
      </c>
      <c r="V87" t="s">
        <v>682</v>
      </c>
    </row>
    <row r="88" spans="21:22">
      <c r="U88">
        <v>12060</v>
      </c>
      <c r="V88" t="s">
        <v>683</v>
      </c>
    </row>
    <row r="89" spans="21:22">
      <c r="U89">
        <v>12063</v>
      </c>
      <c r="V89" t="s">
        <v>684</v>
      </c>
    </row>
    <row r="90" spans="21:22">
      <c r="U90">
        <v>12066</v>
      </c>
      <c r="V90" t="s">
        <v>685</v>
      </c>
    </row>
    <row r="91" spans="21:22">
      <c r="U91">
        <v>12070</v>
      </c>
      <c r="V91" t="s">
        <v>686</v>
      </c>
    </row>
    <row r="92" spans="21:22">
      <c r="U92">
        <v>12071</v>
      </c>
      <c r="V92" t="s">
        <v>687</v>
      </c>
    </row>
    <row r="93" spans="21:22">
      <c r="U93">
        <v>12082</v>
      </c>
      <c r="V93" t="s">
        <v>688</v>
      </c>
    </row>
    <row r="94" spans="21:22">
      <c r="U94">
        <v>12092</v>
      </c>
      <c r="V94" t="s">
        <v>689</v>
      </c>
    </row>
    <row r="95" spans="21:22">
      <c r="U95">
        <v>13010</v>
      </c>
      <c r="V95" t="s">
        <v>690</v>
      </c>
    </row>
    <row r="96" spans="21:22">
      <c r="U96">
        <v>13020</v>
      </c>
      <c r="V96" t="s">
        <v>691</v>
      </c>
    </row>
    <row r="97" spans="21:22">
      <c r="U97">
        <v>14010</v>
      </c>
      <c r="V97" t="s">
        <v>692</v>
      </c>
    </row>
    <row r="98" spans="21:22">
      <c r="U98">
        <v>14110</v>
      </c>
      <c r="V98" t="s">
        <v>693</v>
      </c>
    </row>
    <row r="99" spans="21:22">
      <c r="U99">
        <v>14210</v>
      </c>
      <c r="V99" t="s">
        <v>694</v>
      </c>
    </row>
    <row r="100" spans="21:22">
      <c r="U100">
        <v>14310</v>
      </c>
      <c r="V100" t="s">
        <v>695</v>
      </c>
    </row>
    <row r="101" spans="21:22">
      <c r="U101">
        <v>14410</v>
      </c>
      <c r="V101" t="s">
        <v>696</v>
      </c>
    </row>
    <row r="102" spans="21:22">
      <c r="U102">
        <v>15010</v>
      </c>
      <c r="V102" t="s">
        <v>697</v>
      </c>
    </row>
    <row r="103" spans="21:22">
      <c r="U103">
        <v>15011</v>
      </c>
      <c r="V103" t="s">
        <v>698</v>
      </c>
    </row>
    <row r="104" spans="21:22">
      <c r="U104">
        <v>15022</v>
      </c>
      <c r="V104" t="s">
        <v>699</v>
      </c>
    </row>
    <row r="105" spans="21:22">
      <c r="U105">
        <v>16010</v>
      </c>
      <c r="V105" t="s">
        <v>700</v>
      </c>
    </row>
    <row r="106" spans="21:22">
      <c r="U106">
        <v>17010</v>
      </c>
      <c r="V106" t="s">
        <v>701</v>
      </c>
    </row>
    <row r="107" spans="21:22">
      <c r="U107">
        <v>17020</v>
      </c>
      <c r="V107" t="s">
        <v>702</v>
      </c>
    </row>
    <row r="108" spans="21:22">
      <c r="U108">
        <v>17030</v>
      </c>
      <c r="V108" t="s">
        <v>703</v>
      </c>
    </row>
    <row r="109" spans="21:22">
      <c r="U109">
        <v>17040</v>
      </c>
      <c r="V109" t="s">
        <v>704</v>
      </c>
    </row>
    <row r="110" spans="21:22">
      <c r="U110">
        <v>17050</v>
      </c>
      <c r="V110" t="s">
        <v>705</v>
      </c>
    </row>
    <row r="111" spans="21:22">
      <c r="U111">
        <v>17060</v>
      </c>
      <c r="V111" t="s">
        <v>706</v>
      </c>
    </row>
    <row r="112" spans="21:22">
      <c r="U112">
        <v>18010</v>
      </c>
      <c r="V112" t="s">
        <v>707</v>
      </c>
    </row>
    <row r="113" spans="21:22">
      <c r="U113">
        <v>18020</v>
      </c>
      <c r="V113" t="s">
        <v>708</v>
      </c>
    </row>
    <row r="114" spans="21:22">
      <c r="U114">
        <v>19010</v>
      </c>
      <c r="V114" t="s">
        <v>709</v>
      </c>
    </row>
    <row r="115" spans="21:22">
      <c r="U115">
        <v>19020</v>
      </c>
      <c r="V115" t="s">
        <v>710</v>
      </c>
    </row>
    <row r="116" spans="21:22">
      <c r="U116">
        <v>20030</v>
      </c>
      <c r="V116" t="s">
        <v>711</v>
      </c>
    </row>
    <row r="117" spans="21:22">
      <c r="U117">
        <v>20040</v>
      </c>
      <c r="V117" t="s">
        <v>712</v>
      </c>
    </row>
    <row r="118" spans="21:22">
      <c r="U118">
        <v>20050</v>
      </c>
      <c r="V118" t="s">
        <v>713</v>
      </c>
    </row>
    <row r="119" spans="21:22">
      <c r="U119">
        <v>20070</v>
      </c>
      <c r="V119" t="s">
        <v>714</v>
      </c>
    </row>
    <row r="120" spans="21:22">
      <c r="U120">
        <v>20071</v>
      </c>
      <c r="V120" t="s">
        <v>715</v>
      </c>
    </row>
    <row r="121" spans="21:22">
      <c r="U121">
        <v>20110</v>
      </c>
      <c r="V121" t="s">
        <v>716</v>
      </c>
    </row>
    <row r="122" spans="21:22">
      <c r="U122">
        <v>20120</v>
      </c>
      <c r="V122" t="s">
        <v>717</v>
      </c>
    </row>
    <row r="123" spans="21:22">
      <c r="U123">
        <v>20130</v>
      </c>
      <c r="V123" t="s">
        <v>718</v>
      </c>
    </row>
    <row r="124" spans="21:22">
      <c r="U124">
        <v>20140</v>
      </c>
      <c r="V124" t="s">
        <v>719</v>
      </c>
    </row>
    <row r="125" spans="21:22">
      <c r="U125">
        <v>20150</v>
      </c>
      <c r="V125" t="s">
        <v>720</v>
      </c>
    </row>
    <row r="126" spans="21:22">
      <c r="U126">
        <v>20160</v>
      </c>
      <c r="V126" t="s">
        <v>721</v>
      </c>
    </row>
    <row r="127" spans="21:22">
      <c r="U127">
        <v>23010</v>
      </c>
      <c r="V127" t="s">
        <v>722</v>
      </c>
    </row>
    <row r="128" spans="21:22">
      <c r="U128">
        <v>30010</v>
      </c>
      <c r="V128" t="s">
        <v>723</v>
      </c>
    </row>
    <row r="129" spans="21:22">
      <c r="U129">
        <v>30020</v>
      </c>
      <c r="V129" t="s">
        <v>724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Skills</vt:lpstr>
      <vt:lpstr>Features</vt:lpstr>
      <vt:lpstr>Triggers</vt:lpstr>
      <vt:lpstr>ScopeTriggers</vt:lpstr>
      <vt:lpstr>TextData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2022-04-16T05:08:00Z</dcterms:created>
  <dcterms:modified xsi:type="dcterms:W3CDTF">2024-12-25T02:24:38Z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1041-11.2.0.10624</vt:lpwstr>
  </property>
  <property fmtid="{D5CDD505-2E9C-101B-9397-08002B2CF9AE}" pid="3" name="ICV">
    <vt:lpwstr>9AA80B4D883B48CFAC47B06FBECCCEC5</vt:lpwstr>
  </property>
</Properties>
</file>